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总计" sheetId="2" r:id="rId5"/>
    <sheet name="双中心双活建设计划-初步排期" sheetId="3" r:id="rId6" state="hidden"/>
    <sheet name="双中心双活建设计划-初步排期-细排" sheetId="4" r:id="rId7" state="hidden"/>
    <sheet name="双中心双活建设计划-初步排期-3个月" sheetId="5" r:id="rId8"/>
    <sheet name="双中心双活建设计划-初步排期-3个月-备份" sheetId="6" r:id="rId9" state="hidden"/>
    <sheet name="灾备更新建设计划" sheetId="7" r:id="rId10"/>
    <sheet name="95号码建设计划" sheetId="8" r:id="rId1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<sst xmlns="http://schemas.openxmlformats.org/spreadsheetml/2006/main" count="1" uniqueCount="1">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</sst>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yyyy/MM/dd"/>
    <numFmt numFmtId="165" formatCode="yyyy/MM/dd"/>
    <numFmt numFmtId="166" formatCode="yyyy/MM/dd"/>
    <numFmt numFmtId="167" formatCode="yyyy/MM/dd"/>
    <numFmt numFmtId="168" formatCode="yyyy/MM/dd"/>
  </numFmts>
  <fonts count="6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F54A45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F54A45"/>
        <bgColor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true" applyFont="true" applyNumberFormat="false" applyProtection="false" borderId="3" fillId="2" fontId="1" numFmtId="0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horizontal="center" vertical="center" wrapText="true"/>
    </xf>
    <xf applyAlignment="true" applyBorder="false" applyFill="false" applyFont="true" applyNumberFormat="false" applyProtection="false" borderId="5" fillId="0" fontId="1" numFmtId="0" xfId="0">
      <alignment horizontal="left" vertical="center" wrapText="true"/>
    </xf>
    <xf applyAlignment="true" applyBorder="false" applyFill="false" applyFont="true" applyNumberFormat="true" applyProtection="false" borderId="6" fillId="0" fontId="1" numFmtId="164" xfId="0">
      <alignment horizontal="center" vertical="center"/>
    </xf>
    <xf applyAlignment="true" applyBorder="false" applyFill="false" applyFont="true" applyNumberFormat="true" applyProtection="false" borderId="7" fillId="0" fontId="2" numFmtId="165" xfId="0">
      <alignment horizontal="center" vertical="center"/>
    </xf>
    <xf applyAlignment="true" applyBorder="false" applyFill="true" applyFont="true" applyNumberFormat="false" applyProtection="false" borderId="8" fillId="3" fontId="1" numFmtId="0" xfId="0">
      <alignment horizontal="center" vertical="center" wrapText="true"/>
    </xf>
    <xf applyAlignment="true" applyBorder="false" applyFill="true" applyFont="true" applyNumberFormat="false" applyProtection="false" borderId="9" fillId="4" fontId="1" numFmtId="0" xfId="0">
      <alignment horizontal="left" vertical="center" wrapText="true"/>
    </xf>
    <xf applyAlignment="true" applyBorder="false" applyFill="true" applyFont="true" applyNumberFormat="true" applyProtection="false" borderId="10" fillId="5" fontId="1" numFmtId="166" xfId="0">
      <alignment horizontal="center" vertical="center"/>
    </xf>
    <xf applyAlignment="true" applyBorder="false" applyFill="true" applyFont="true" applyNumberFormat="false" applyProtection="false" borderId="11" fillId="6" fontId="1" numFmtId="0" xfId="0">
      <alignment horizontal="center" vertical="center"/>
    </xf>
    <xf applyAlignment="true" applyBorder="false" applyFill="true" applyFont="true" applyNumberFormat="false" applyProtection="false" borderId="12" fillId="7" fontId="1" numFmtId="0" xfId="0">
      <alignment vertical="center"/>
    </xf>
    <xf applyAlignment="true" applyBorder="false" applyFill="true" applyFont="true" applyNumberFormat="false" applyProtection="false" borderId="13" fillId="8" fontId="3" numFmtId="0" xfId="0">
      <alignment horizontal="center" vertical="top" wrapText="true"/>
    </xf>
    <xf applyAlignment="true" applyBorder="false" applyFill="true" applyFont="true" applyNumberFormat="true" applyProtection="false" borderId="14" fillId="9" fontId="3" numFmtId="167" xfId="0">
      <alignment horizontal="center" vertical="top" wrapText="true"/>
    </xf>
    <xf applyAlignment="true" applyBorder="false" applyFill="false" applyFont="true" applyNumberFormat="false" applyProtection="false" borderId="15" fillId="0" fontId="4" numFmtId="0" xfId="0">
      <alignment horizontal="center" vertical="center"/>
    </xf>
    <xf applyAlignment="true" applyBorder="false" applyFill="true" applyFont="true" applyNumberFormat="true" applyProtection="false" borderId="16" fillId="10" fontId="1" numFmtId="168" xfId="0">
      <alignment horizontal="center" vertical="center"/>
    </xf>
    <xf applyAlignment="true" applyBorder="false" applyFill="false" applyFont="true" applyNumberFormat="false" applyProtection="false" borderId="17" fillId="0" fontId="5" numFmtId="0" xfId="0">
      <alignment horizontal="left" vertical="center" wrapText="true"/>
    </xf>
    <xf applyAlignment="true" applyBorder="false" applyFill="false" applyFont="true" applyNumberFormat="false" applyProtection="false" borderId="18" fillId="0" fontId="5" numFmtId="0" xfId="0">
      <alignment horizontal="center" vertical="center" wrapText="true"/>
    </xf>
    <xf applyAlignment="false" applyBorder="false" applyFill="false" applyFont="false" applyNumberFormat="false" applyProtection="false" borderId="19" fillId="0" fontId="0" numFmtId="0" xfId="0">
      <alignment/>
    </xf>
    <xf applyAlignment="true" applyBorder="false" applyFill="false" applyFont="true" applyNumberFormat="false" applyProtection="false" borderId="20" fillId="0" fontId="3" numFmtId="0" xfId="0">
      <alignment horizontal="center" vertical="center" wrapText="true"/>
    </xf>
    <xf applyAlignment="true" applyBorder="false" applyFill="false" applyFont="true" applyNumberFormat="false" applyProtection="false" borderId="21" fillId="0" fontId="3" numFmtId="0" xfId="0">
      <alignment horizontal="center" vertical="center"/>
    </xf>
    <xf applyAlignment="true" applyBorder="false" applyFill="false" applyFont="true" applyNumberFormat="false" applyProtection="false" borderId="22" fillId="0" fontId="3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35"/>
    <col collapsed="false" customWidth="true" hidden="false" max="2" min="2" style="0" width="13"/>
    <col collapsed="false" customWidth="true" hidden="false" max="3" min="3" style="0" width="10"/>
  </cols>
  <sheetData>
    <row r="1">
      <c r="A1" s="3" t="str">
        <v>大类</v>
      </c>
      <c r="B1" s="3" t="str">
        <v>工作量（人月）</v>
      </c>
      <c r="C1" s="3" t="str">
        <v>成本（万）</v>
      </c>
      <c r="E1" s="3" t="str">
        <v>工作量（人月）</v>
      </c>
      <c r="F1" s="3" t="str">
        <v>成本（万）</v>
      </c>
    </row>
    <row r="2">
      <c r="A2" s="1" t="str">
        <v>中间件改造</v>
      </c>
      <c r="B2" s="2"/>
    </row>
    <row r="3">
      <c r="A3" s="1" t="str">
        <v>中间件数据补偿</v>
      </c>
      <c r="B3" s="2"/>
    </row>
    <row customHeight="true" ht="19" r="4">
      <c r="A4" s="1" t="str">
        <v>中间件数据迁移（mysql、es等）（备到主）</v>
      </c>
      <c r="B4" s="2">
        <f>2*8</f>
      </c>
      <c r="C4">
        <f>B4*3.4</f>
      </c>
      <c r="E4" s="2">
        <f>2*8</f>
      </c>
      <c r="F4">
        <f>E4*3.4</f>
      </c>
    </row>
    <row customHeight="true" ht="19" r="5">
      <c r="A5" s="1" t="str">
        <v>中间件适配（CK+OBS）</v>
      </c>
      <c r="B5" s="2">
        <f>2*12+2</f>
      </c>
      <c r="C5" s="1">
        <f>B5*3.4</f>
      </c>
      <c r="E5" s="2">
        <f>2*12+2</f>
      </c>
      <c r="F5" s="1">
        <f>E5*3.4</f>
      </c>
    </row>
    <row r="6">
      <c r="A6" s="1" t="str">
        <v>灾备演练方案</v>
      </c>
      <c r="B6" s="2"/>
    </row>
    <row customHeight="true" ht="19" r="7">
      <c r="A7" s="1" t="str">
        <v>灾备演练工作量</v>
      </c>
      <c r="B7" s="2"/>
    </row>
    <row r="8">
      <c r="A8" s="1" t="str">
        <v>研发定制工作量</v>
      </c>
      <c r="B8" s="2">
        <f>3*12</f>
      </c>
      <c r="C8">
        <f>B8*3.4</f>
      </c>
      <c r="E8" s="2">
        <f>3*12</f>
      </c>
      <c r="F8">
        <f>E8*3.4</f>
      </c>
    </row>
    <row r="9">
      <c r="A9" s="1" t="str">
        <v>交付部署</v>
      </c>
      <c r="B9" s="2">
        <f>2*6</f>
      </c>
      <c r="C9">
        <f>B9*2.3</f>
      </c>
      <c r="E9" s="1">
        <v>12</v>
      </c>
      <c r="F9" s="1">
        <v>27.6</v>
      </c>
    </row>
    <row customHeight="true" ht="19" r="10">
      <c r="A10" s="1" t="str">
        <v>运营</v>
      </c>
      <c r="B10" s="2">
        <f>1*12</f>
      </c>
      <c r="C10">
        <f>35</f>
      </c>
      <c r="E10" s="1">
        <v>6</v>
      </c>
      <c r="F10" s="1">
        <v>17</v>
      </c>
    </row>
    <row customHeight="true" ht="19" r="11">
      <c r="A11" s="1" t="str">
        <v>项目管理</v>
      </c>
      <c r="B11" s="2">
        <f>12</f>
      </c>
      <c r="C11">
        <f>40</f>
      </c>
      <c r="E11" s="1">
        <v>6</v>
      </c>
      <c r="F11" s="1">
        <v>20</v>
      </c>
    </row>
    <row customHeight="true" ht="19" r="12">
      <c r="A12" s="1" t="str">
        <v>差旅</v>
      </c>
      <c r="B12" s="2"/>
      <c r="C12" s="1">
        <v>50</v>
      </c>
      <c r="F12" s="1">
        <v>30</v>
      </c>
    </row>
    <row r="13">
      <c r="B13" s="2">
        <f>SUM(B2:B12)</f>
      </c>
      <c r="C13">
        <f>SUM(C2:C12)</f>
      </c>
      <c r="D13">
        <f>C13/0.6</f>
      </c>
      <c r="F13">
        <f>SUM(F2:F12)</f>
      </c>
    </row>
    <row r="14">
      <c r="D14">
        <f>500*0.6</f>
      </c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17"/>
    <col collapsed="false" customWidth="true" hidden="false" max="3" min="3" style="0" width="37"/>
    <col collapsed="false" customWidth="true" hidden="false" max="4" min="4" style="0" width="48"/>
    <col collapsed="false" customWidth="true" hidden="false" max="5" min="5" style="0" width="10"/>
    <col collapsed="false" customWidth="true" hidden="false" max="6" min="6" style="0" width="32"/>
    <col collapsed="false" customWidth="true" hidden="false" max="7" min="7" style="0" width="12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10"/>
  </cols>
  <sheetData>
    <row customHeight="true" ht="19" r="1">
      <c r="A1" s="13" t="str">
        <v>大类</v>
      </c>
      <c r="B1" s="13" t="str">
        <v>小类</v>
      </c>
      <c r="C1" s="13" t="str">
        <v>功能调整点</v>
      </c>
      <c r="D1" s="13" t="str">
        <v>详细内容</v>
      </c>
      <c r="E1" s="14" t="str">
        <v>开始时间</v>
      </c>
      <c r="F1" s="14" t="str">
        <v>完成时间</v>
      </c>
      <c r="G1" s="13" t="str">
        <v>工作量预估</v>
      </c>
      <c r="H1" s="13" t="str">
        <v>负责人</v>
      </c>
      <c r="I1" s="13" t="str">
        <v>负责方</v>
      </c>
      <c r="J1" s="13" t="str">
        <v>状态</v>
      </c>
    </row>
    <row customHeight="true" ht="19" r="2">
      <c r="A2" s="4" t="str">
        <v>天翼云迁移</v>
      </c>
      <c r="B2" s="4" t="str">
        <v>资源评估</v>
      </c>
      <c r="C2" s="5" t="str">
        <v>新增线路接入北京机房梳理北京 5 现有资源，根据业务情况进行资源分 组，明确哪些资源迁移至华北 AZ1，哪些迁移至 华北 AZ</v>
      </c>
      <c r="D2" s="5"/>
      <c r="E2" s="2"/>
      <c r="F2" s="2" t="str">
        <v>T</v>
      </c>
      <c r="G2" s="2">
        <v>5</v>
      </c>
      <c r="H2" s="2"/>
      <c r="I2" s="2" t="str">
        <v>天翼云</v>
      </c>
      <c r="J2" s="2" t="str">
        <v>进行中</v>
      </c>
    </row>
    <row customHeight="true" ht="34" r="3">
      <c r="A3" s="4" t="str">
        <v>天翼云迁移</v>
      </c>
      <c r="B3" s="4" t="str">
        <v>环境搭建</v>
      </c>
      <c r="C3" s="5" t="str">
        <v>开通北京 5 至华北的临时专线，在华北开通迁移所 需的全部资源</v>
      </c>
      <c r="D3" s="5"/>
      <c r="E3" s="2"/>
      <c r="F3" s="2"/>
      <c r="G3" s="2">
        <v>5</v>
      </c>
      <c r="H3" s="2"/>
      <c r="I3" s="2" t="str">
        <v>天翼云</v>
      </c>
      <c r="J3" s="2"/>
    </row>
    <row customHeight="true" ht="34" r="4">
      <c r="A4" s="4" t="str">
        <v>天翼云迁移</v>
      </c>
      <c r="B4" s="4" t="str">
        <v>数据迁移</v>
      </c>
      <c r="C4" s="5" t="str">
        <v>通过迁移工具对云主机、弹性文件、对象存储、 RDS 数据库进行数据迁</v>
      </c>
      <c r="D4" s="5"/>
      <c r="E4" s="2"/>
      <c r="F4" s="2"/>
      <c r="G4" s="2">
        <v>20</v>
      </c>
      <c r="H4" s="2"/>
      <c r="I4" s="2" t="str">
        <v>天翼云</v>
      </c>
      <c r="J4" s="2"/>
    </row>
    <row customHeight="true" ht="34" r="5">
      <c r="A5" s="4" t="str">
        <v>天翼云迁移</v>
      </c>
      <c r="B5" s="4" t="str">
        <v>割接准备</v>
      </c>
      <c r="C5" s="5" t="str">
        <v>制定割接计划、完成备线割接、明确各环节操作及 保障人员</v>
      </c>
      <c r="D5" s="5"/>
      <c r="E5" s="2"/>
      <c r="F5" s="2"/>
      <c r="G5" s="2">
        <v>3</v>
      </c>
      <c r="H5" s="2"/>
      <c r="I5" s="2" t="str">
        <v>天翼云</v>
      </c>
      <c r="J5" s="2"/>
    </row>
    <row customHeight="true" ht="34" r="6">
      <c r="A6" s="4" t="str">
        <v>天翼云迁移</v>
      </c>
      <c r="B6" s="4" t="str">
        <v>业务割接</v>
      </c>
      <c r="C6" s="5" t="str">
        <v>按割接方案进行业务割接并验证，迁移完成</v>
      </c>
      <c r="D6" s="5"/>
      <c r="E6" s="2"/>
      <c r="F6" s="2"/>
      <c r="G6" s="2">
        <v>1</v>
      </c>
      <c r="H6" s="2"/>
      <c r="I6" s="2" t="str">
        <v>天翼云</v>
      </c>
      <c r="J6" s="2"/>
    </row>
    <row customHeight="true" ht="34" r="7">
      <c r="A7" s="4" t="str">
        <v>讯飞方案设计</v>
      </c>
      <c r="B7" s="4" t="str">
        <v>方案整理</v>
      </c>
      <c r="C7" s="5" t="str">
        <v>整体双中心双活方案</v>
      </c>
      <c r="D7" s="5" t="str">
        <v>1、完成整体建设计划明确、内部评审</v>
      </c>
      <c r="E7" s="6">
        <v>45439</v>
      </c>
      <c r="F7" s="7">
        <f>WORKDAY.INTL(E7,G7)</f>
      </c>
      <c r="G7" s="2">
        <v>10</v>
      </c>
      <c r="H7" s="2" t="str">
        <v>陈亚男</v>
      </c>
      <c r="I7" s="2" t="str">
        <v>讯飞</v>
      </c>
      <c r="J7" s="2" t="str">
        <v>未开始</v>
      </c>
    </row>
    <row r="8">
      <c r="A8" s="4" t="str">
        <v>讯飞方案设计</v>
      </c>
      <c r="B8" s="4" t="str">
        <v>方案评估</v>
      </c>
      <c r="C8" s="5" t="str">
        <v>详细方案可行性、方案评审</v>
      </c>
      <c r="D8" s="5" t="str">
        <v>1、完成详细方案设计、评审、
2、完成融通侧双中心服务器资源协调与建设计划同步
3、跟踪整体建设方案、进度</v>
      </c>
      <c r="E8" s="6">
        <f>F7</f>
      </c>
      <c r="F8" s="6">
        <f>WORKDAY.INTL(E8,G8)</f>
      </c>
      <c r="G8" s="2">
        <v>40</v>
      </c>
      <c r="H8" s="2" t="str">
        <v>陈亚男</v>
      </c>
      <c r="I8" s="2" t="str">
        <v>讯飞</v>
      </c>
      <c r="J8" s="2" t="str">
        <v>未开始</v>
      </c>
    </row>
    <row customHeight="true" ht="19" r="9">
      <c r="A9" s="4" t="str">
        <v>讯飞方案设计</v>
      </c>
      <c r="B9" s="4" t="str">
        <v>资源评估</v>
      </c>
      <c r="C9" s="5" t="str">
        <v>根据天翼云规划的机器进行应用服务规划</v>
      </c>
      <c r="D9" s="5" t="str">
        <v>1、将单中心、双集群梳理为双中心双集群</v>
      </c>
      <c r="E9" s="6">
        <f>F7</f>
      </c>
      <c r="F9" s="6">
        <f>WORKDAY.INTL(E9,G9)</f>
      </c>
      <c r="G9" s="2">
        <v>5</v>
      </c>
      <c r="H9" s="15" t="str">
        <v>陈亚男</v>
      </c>
      <c r="I9" s="2" t="str">
        <v>讯飞</v>
      </c>
      <c r="J9" s="2" t="str">
        <v>未开始</v>
      </c>
    </row>
    <row customHeight="true" ht="36" r="10">
      <c r="A10" s="4" t="str">
        <v>讯飞服务迁移</v>
      </c>
      <c r="B10" s="4" t="str">
        <v>网络关系梳理</v>
      </c>
      <c r="C10" s="5" t="str">
        <v>根据天翼云迁移后机器网络，进行网络关系梳理</v>
      </c>
      <c r="D10" s="5"/>
      <c r="E10" s="6">
        <f>F9</f>
      </c>
      <c r="F10" s="7">
        <f>WORKDAY.INTL(E10,G10)</f>
      </c>
      <c r="G10" s="2">
        <v>5</v>
      </c>
      <c r="H10" s="15" t="str">
        <v>陈亚男</v>
      </c>
      <c r="I10" s="2" t="str">
        <v>讯飞</v>
      </c>
      <c r="J10" s="2" t="str">
        <v>未开始</v>
      </c>
    </row>
    <row customHeight="true" ht="34" r="11">
      <c r="A11" s="4" t="str">
        <v>讯飞方案设计</v>
      </c>
      <c r="B11" s="4" t="str">
        <v>计划输出</v>
      </c>
      <c r="C11" s="5" t="str">
        <v>产品改造详细计划输出</v>
      </c>
      <c r="D11" s="5" t="str">
        <v>1、涉及产品改造方案输出
2、方案评审</v>
      </c>
      <c r="E11" s="6">
        <f>E7</f>
      </c>
      <c r="F11" s="6">
        <f>WORKDAY.INTL(E11,G11)</f>
      </c>
      <c r="G11" s="2">
        <v>20</v>
      </c>
      <c r="H11" s="2" t="str">
        <v>待协调1</v>
      </c>
      <c r="I11" s="2" t="str">
        <v>讯飞</v>
      </c>
      <c r="J11" s="2" t="str">
        <v>未开始</v>
      </c>
    </row>
    <row customHeight="true" ht="34" r="12">
      <c r="A12" s="4" t="str">
        <v>讯飞方案设计</v>
      </c>
      <c r="B12" s="4" t="str">
        <v>计划输出</v>
      </c>
      <c r="C12" s="5" t="str">
        <v>中间件详细计划输出</v>
      </c>
      <c r="D12" s="5" t="str">
        <v>1、涉及中间件改造方案输出
2、方案评审</v>
      </c>
      <c r="E12" s="6">
        <f>E7</f>
      </c>
      <c r="F12" s="6">
        <f>WORKDAY.INTL(E12,G12)</f>
      </c>
      <c r="G12" s="2">
        <v>20</v>
      </c>
      <c r="H12" s="2" t="str">
        <v>待协调2</v>
      </c>
      <c r="I12" s="2" t="str">
        <v>讯飞</v>
      </c>
      <c r="J12" s="2" t="str">
        <v>未开始</v>
      </c>
    </row>
    <row customHeight="true" ht="34" r="13">
      <c r="A13" s="4" t="str">
        <v>讯飞方案设计</v>
      </c>
      <c r="B13" s="4" t="str">
        <v>方案验证</v>
      </c>
      <c r="C13" s="5" t="str">
        <v>产品方案验证</v>
      </c>
      <c r="D13" s="5" t="str">
        <v>1、方案验证</v>
      </c>
      <c r="E13" s="6">
        <f>F11</f>
      </c>
      <c r="F13" s="7">
        <f>WORKDAY.INTL(E13,G13)</f>
      </c>
      <c r="G13" s="2">
        <v>20</v>
      </c>
      <c r="H13" s="2" t="str">
        <v>待协调1</v>
      </c>
      <c r="I13" s="2" t="str">
        <v>讯飞</v>
      </c>
      <c r="J13" s="2" t="str">
        <v>未开始</v>
      </c>
    </row>
    <row customHeight="true" ht="34" r="14">
      <c r="A14" s="4" t="str">
        <v>讯飞方案设计</v>
      </c>
      <c r="B14" s="4" t="str">
        <v>方案验证</v>
      </c>
      <c r="C14" s="5" t="str">
        <v>中间件方案验证</v>
      </c>
      <c r="D14" s="5" t="str">
        <v>1、方案验证</v>
      </c>
      <c r="E14" s="6">
        <f>F12</f>
      </c>
      <c r="F14" s="7">
        <f>WORKDAY.INTL(E14,G14)</f>
      </c>
      <c r="G14" s="2">
        <v>20</v>
      </c>
      <c r="H14" s="2" t="str">
        <v>待协调2</v>
      </c>
      <c r="I14" s="2" t="str">
        <v>讯飞</v>
      </c>
      <c r="J14" s="2" t="str">
        <v>未开始</v>
      </c>
    </row>
    <row customHeight="true" ht="19" r="15">
      <c r="A15" s="4" t="str">
        <v>讯飞服务改造</v>
      </c>
      <c r="B15" s="4" t="str">
        <v>语音系统改造</v>
      </c>
      <c r="C15" s="5" t="str">
        <v>AICC座席工作台</v>
      </c>
      <c r="D15" s="5" t="str">
        <v>1、应用改造、验证</v>
      </c>
      <c r="E15" s="6">
        <f>F12</f>
      </c>
      <c r="F15" s="6">
        <f>WORKDAY.INTL(E15,G15)</f>
      </c>
      <c r="G15" s="2">
        <v>30</v>
      </c>
      <c r="H15" s="2" t="str">
        <v>待协调1</v>
      </c>
      <c r="I15" s="2" t="str">
        <v>讯飞</v>
      </c>
      <c r="J15" s="2" t="str">
        <v>未开始</v>
      </c>
    </row>
    <row customHeight="true" ht="19" r="16">
      <c r="A16" s="4" t="str">
        <v>讯飞服务改造</v>
      </c>
      <c r="B16" s="4" t="str">
        <v>语音系统改造</v>
      </c>
      <c r="C16" s="5" t="str">
        <v>软交换平台</v>
      </c>
      <c r="D16" s="5" t="str">
        <v>1、应用改造、验证</v>
      </c>
      <c r="E16" s="6">
        <f>F12</f>
      </c>
      <c r="F16" s="6">
        <f>WORKDAY.INTL(E16,G16)</f>
      </c>
      <c r="G16" s="2">
        <v>30</v>
      </c>
      <c r="H16" s="2" t="str">
        <v>待协调2</v>
      </c>
      <c r="I16" s="2" t="str">
        <v>讯飞</v>
      </c>
      <c r="J16" s="2" t="str">
        <v>未开始</v>
      </c>
    </row>
    <row customHeight="true" ht="19" r="17">
      <c r="A17" s="4" t="str">
        <v>讯飞服务改造</v>
      </c>
      <c r="B17" s="4" t="str">
        <v>在线系统改造</v>
      </c>
      <c r="C17" s="5" t="str">
        <v>IM文字客服</v>
      </c>
      <c r="D17" s="5" t="str">
        <v>1、应用改造、验证</v>
      </c>
      <c r="E17" s="6">
        <f>F12</f>
      </c>
      <c r="F17" s="6">
        <f>WORKDAY.INTL(E17,G17)</f>
      </c>
      <c r="G17" s="2">
        <v>30</v>
      </c>
      <c r="H17" s="2" t="str">
        <v>待协调3</v>
      </c>
      <c r="I17" s="2" t="str">
        <v>讯飞</v>
      </c>
      <c r="J17" s="2" t="str">
        <v>未开始</v>
      </c>
      <c r="K17" s="1"/>
    </row>
    <row customHeight="true" ht="19" r="18">
      <c r="A18" s="4" t="str">
        <v>讯飞服务改造</v>
      </c>
      <c r="B18" s="4" t="str">
        <v>智能化服务改造</v>
      </c>
      <c r="C18" s="5" t="str">
        <v>融智知识库</v>
      </c>
      <c r="D18" s="5" t="str">
        <v>1、应用改造、验证</v>
      </c>
      <c r="E18" s="6">
        <f>F12</f>
      </c>
      <c r="F18" s="6">
        <f>WORKDAY.INTL(E18,G18)</f>
      </c>
      <c r="G18" s="2">
        <v>30</v>
      </c>
      <c r="H18" s="2" t="str">
        <v>待协调4</v>
      </c>
      <c r="I18" s="2" t="str">
        <v>讯飞</v>
      </c>
      <c r="J18" s="2" t="str">
        <v>未开始</v>
      </c>
      <c r="K18" s="1"/>
    </row>
    <row customHeight="true" ht="19" r="19">
      <c r="A19" s="8" t="str">
        <v>讯飞服务改造</v>
      </c>
      <c r="B19" s="8" t="str">
        <v>智能化服务改造</v>
      </c>
      <c r="C19" s="9" t="str">
        <v>AI+管理平台</v>
      </c>
      <c r="D19" s="9"/>
      <c r="E19" s="10"/>
      <c r="F19" s="10"/>
      <c r="G19" s="11">
        <v>30</v>
      </c>
      <c r="H19" s="11"/>
      <c r="I19" s="11" t="str">
        <v>讯飞</v>
      </c>
      <c r="J19" s="11" t="str">
        <v>未开始</v>
      </c>
      <c r="K19" s="12"/>
    </row>
    <row customHeight="true" ht="19" r="20">
      <c r="A20" s="8" t="str">
        <v>讯飞服务改造</v>
      </c>
      <c r="B20" s="8" t="str">
        <v>智能化服务改造</v>
      </c>
      <c r="C20" s="9" t="str">
        <v>智能外呼</v>
      </c>
      <c r="D20" s="9"/>
      <c r="E20" s="10"/>
      <c r="F20" s="10"/>
      <c r="G20" s="11">
        <v>30</v>
      </c>
      <c r="H20" s="11"/>
      <c r="I20" s="11" t="str">
        <v>讯飞</v>
      </c>
      <c r="J20" s="11" t="str">
        <v>未开始</v>
      </c>
      <c r="K20" s="12"/>
    </row>
    <row customHeight="true" ht="19" r="21">
      <c r="A21" s="8" t="str">
        <v>讯飞服务改造</v>
      </c>
      <c r="B21" s="8" t="str">
        <v>智能化服务改造</v>
      </c>
      <c r="C21" s="9" t="str">
        <v>智能质检</v>
      </c>
      <c r="D21" s="9"/>
      <c r="E21" s="10"/>
      <c r="F21" s="10"/>
      <c r="G21" s="11">
        <v>30</v>
      </c>
      <c r="H21" s="11"/>
      <c r="I21" s="11" t="str">
        <v>讯飞</v>
      </c>
      <c r="J21" s="11" t="str">
        <v>未开始</v>
      </c>
      <c r="K21" s="12" t="str">
        <v>补充到1.5人月</v>
      </c>
    </row>
    <row customHeight="true" ht="19" r="22">
      <c r="A22" s="8" t="str">
        <v>讯飞服务改造</v>
      </c>
      <c r="B22" s="8" t="str">
        <v>智能化服务改造</v>
      </c>
      <c r="C22" s="9" t="str">
        <v>智能助手</v>
      </c>
      <c r="D22" s="9"/>
      <c r="E22" s="10"/>
      <c r="F22" s="10"/>
      <c r="G22" s="11">
        <v>30</v>
      </c>
      <c r="H22" s="11"/>
      <c r="I22" s="11" t="str">
        <v>讯飞</v>
      </c>
      <c r="J22" s="11" t="str">
        <v>未开始</v>
      </c>
      <c r="K22" s="12"/>
    </row>
    <row customHeight="true" ht="19" r="23">
      <c r="A23" s="8" t="str">
        <v>讯飞服务改造</v>
      </c>
      <c r="B23" s="8" t="str">
        <v>周边服务改造</v>
      </c>
      <c r="C23" s="9" t="str">
        <v>人工质检</v>
      </c>
      <c r="D23" s="9"/>
      <c r="E23" s="10"/>
      <c r="F23" s="10"/>
      <c r="G23" s="11">
        <v>30</v>
      </c>
      <c r="H23" s="11"/>
      <c r="I23" s="11" t="str">
        <v>讯飞</v>
      </c>
      <c r="J23" s="11" t="str">
        <v>未开始</v>
      </c>
      <c r="K23" s="12"/>
    </row>
    <row customHeight="true" ht="19" r="24">
      <c r="A24" s="4" t="str">
        <v>讯飞服务改造</v>
      </c>
      <c r="B24" s="4" t="str">
        <v>周边服务改造</v>
      </c>
      <c r="C24" s="5" t="str">
        <v>UAP</v>
      </c>
      <c r="D24" s="5" t="str">
        <v>1、应用改造、验证</v>
      </c>
      <c r="E24" s="6">
        <f>F12</f>
      </c>
      <c r="F24" s="6">
        <f>WORKDAY.INTL(E24,G24)</f>
      </c>
      <c r="G24" s="2">
        <v>30</v>
      </c>
      <c r="H24" s="2" t="str">
        <v>待协调3</v>
      </c>
      <c r="I24" s="2" t="str">
        <v>讯飞</v>
      </c>
      <c r="J24" s="2" t="str">
        <v>未开始</v>
      </c>
    </row>
    <row customHeight="true" ht="19" r="25">
      <c r="A25" s="8" t="str">
        <v>讯飞服务改造</v>
      </c>
      <c r="B25" s="8" t="str">
        <v>周边服务改造</v>
      </c>
      <c r="C25" s="9" t="str">
        <v>监控平台</v>
      </c>
      <c r="D25" s="9"/>
      <c r="E25" s="10"/>
      <c r="F25" s="10"/>
      <c r="G25" s="11">
        <v>30</v>
      </c>
      <c r="H25" s="11"/>
      <c r="I25" s="11" t="str">
        <v>讯飞</v>
      </c>
      <c r="J25" s="11" t="str">
        <v>未开始</v>
      </c>
      <c r="K25" s="12"/>
    </row>
    <row customHeight="true" ht="19" r="26">
      <c r="A26" s="8" t="str">
        <v>讯飞服务改造</v>
      </c>
      <c r="B26" s="8" t="str">
        <v>数据服务改造</v>
      </c>
      <c r="C26" s="9" t="str">
        <v>数据运营/能力平台</v>
      </c>
      <c r="D26" s="9"/>
      <c r="E26" s="10"/>
      <c r="F26" s="10"/>
      <c r="G26" s="11">
        <v>30</v>
      </c>
      <c r="H26" s="11"/>
      <c r="I26" s="11" t="str">
        <v>讯飞</v>
      </c>
      <c r="J26" s="11" t="str">
        <v>未开始</v>
      </c>
      <c r="K26" s="12"/>
    </row>
    <row customHeight="true" ht="19" r="27">
      <c r="A27" s="4" t="str">
        <v>讯飞服务改造</v>
      </c>
      <c r="B27" s="4" t="str">
        <v>存储系统改造</v>
      </c>
      <c r="C27" s="5" t="str">
        <v>Storage\S3协议对接等</v>
      </c>
      <c r="D27" s="5"/>
      <c r="E27" s="6">
        <f>F12</f>
      </c>
      <c r="F27" s="6">
        <f>WORKDAY.INTL(E27,G27)</f>
      </c>
      <c r="G27" s="2">
        <v>30</v>
      </c>
      <c r="H27" s="2" t="str">
        <v>待协调4</v>
      </c>
      <c r="I27" s="2" t="str">
        <v>讯飞</v>
      </c>
      <c r="J27" s="2" t="str">
        <v>未开始</v>
      </c>
    </row>
    <row r="28">
      <c r="A28" s="4" t="str">
        <v>讯飞服务改造</v>
      </c>
      <c r="B28" s="4" t="str">
        <v>中间件同步工具研发</v>
      </c>
      <c r="C28" s="5" t="str">
        <v>天翼云无法上云中间件改造</v>
      </c>
      <c r="D28" s="5" t="str">
        <v>1、中间件双中心方案</v>
      </c>
      <c r="E28" s="6">
        <f>F12</f>
      </c>
      <c r="F28" s="6">
        <f>WORKDAY.INTL(E28,G28)</f>
      </c>
      <c r="G28" s="2">
        <v>60</v>
      </c>
      <c r="H28" s="2" t="str">
        <v>待协调2</v>
      </c>
      <c r="I28" s="2" t="str">
        <v>讯飞</v>
      </c>
      <c r="J28" s="2" t="str">
        <v>未开始</v>
      </c>
    </row>
    <row customHeight="true" ht="36" r="29">
      <c r="A29" s="4" t="str">
        <v>讯飞服务迁移</v>
      </c>
      <c r="B29" s="4" t="str">
        <v>服务迁移</v>
      </c>
      <c r="C29" s="5" t="str">
        <v>根据实际情况、迁移应用服务、中间件</v>
      </c>
      <c r="D29" s="5"/>
      <c r="E29" s="6">
        <f>E11</f>
      </c>
      <c r="F29" s="6">
        <f>WORKDAY.INTL(E29,G29)</f>
      </c>
      <c r="G29" s="2">
        <v>20</v>
      </c>
      <c r="H29" s="2" t="str">
        <v>朱靖</v>
      </c>
      <c r="I29" s="2" t="str">
        <v>讯飞</v>
      </c>
      <c r="J29" s="2" t="str">
        <v>未开始</v>
      </c>
    </row>
    <row customHeight="true" ht="36" r="30">
      <c r="A30" s="4" t="str">
        <v>讯飞服务部署</v>
      </c>
      <c r="B30" s="4" t="str">
        <v>双中心部署</v>
      </c>
      <c r="C30" s="5" t="str">
        <v>根据实际情况、调整应用服务、中间件部署情况</v>
      </c>
      <c r="D30" s="5"/>
      <c r="E30" s="6">
        <f>F29</f>
      </c>
      <c r="F30" s="7">
        <f>WORKDAY.INTL(E30,G30)</f>
      </c>
      <c r="G30" s="2">
        <v>20</v>
      </c>
      <c r="H30" s="2" t="str">
        <v>朱靖</v>
      </c>
      <c r="I30" s="2" t="str">
        <v>讯飞</v>
      </c>
      <c r="J30" s="2" t="str">
        <v>未开始</v>
      </c>
    </row>
    <row customHeight="true" ht="36" r="31">
      <c r="A31" s="4" t="str">
        <v>讯飞服务验证</v>
      </c>
      <c r="B31" s="4" t="str">
        <v>双中心</v>
      </c>
      <c r="C31" s="5" t="str">
        <v>验证双中心功能</v>
      </c>
      <c r="D31" s="5"/>
      <c r="E31" s="6">
        <f>F30</f>
      </c>
      <c r="F31" s="6">
        <f>WORKDAY.INTL(E31,G31)</f>
      </c>
      <c r="G31" s="2">
        <v>10</v>
      </c>
      <c r="H31" s="2" t="str">
        <v>朱靖</v>
      </c>
      <c r="I31" s="2" t="str">
        <v>讯飞</v>
      </c>
      <c r="J31" s="2" t="str">
        <v>未开始</v>
      </c>
    </row>
    <row r="32">
      <c r="A32" s="4" t="str">
        <v>试运行</v>
      </c>
      <c r="B32" s="4" t="str">
        <v>双中心双活试运行</v>
      </c>
      <c r="C32" s="5" t="str">
        <v>根据双中心情况，试运行单中心
双中心
双中心切换试运行</v>
      </c>
      <c r="D32" s="5"/>
      <c r="E32" s="6">
        <f>F31</f>
      </c>
      <c r="F32" s="6">
        <f>WORKDAY.INTL(E32,G32)</f>
      </c>
      <c r="G32" s="2">
        <v>10</v>
      </c>
      <c r="H32" s="2" t="str">
        <v>朱靖</v>
      </c>
      <c r="I32" s="2" t="str">
        <v>讯飞</v>
      </c>
      <c r="J32" s="2" t="str">
        <v>未开始</v>
      </c>
    </row>
    <row customHeight="true" ht="19" r="33">
      <c r="A33" s="4" t="str">
        <v>试运行</v>
      </c>
      <c r="B33" s="4" t="str">
        <v>双中心双活正式运行</v>
      </c>
      <c r="C33" s="5" t="str">
        <v>正式运行后运维</v>
      </c>
      <c r="D33" s="5"/>
      <c r="E33" s="6">
        <f>F32</f>
      </c>
      <c r="F33" s="6">
        <f>WORKDAY.INTL(E33,G33)</f>
      </c>
      <c r="G33" s="2">
        <v>20</v>
      </c>
      <c r="H33" s="2" t="str">
        <v>朱靖</v>
      </c>
      <c r="I33" s="2" t="str">
        <v>讯飞</v>
      </c>
      <c r="J33" s="2" t="str">
        <v>未开始</v>
      </c>
    </row>
    <row customHeight="true" ht="19" r="34">
      <c r="A34" s="4" t="str">
        <v>回退</v>
      </c>
      <c r="B34" s="4" t="str">
        <v>回退</v>
      </c>
      <c r="C34" s="5" t="str">
        <v>双中心运行失败，整体回退</v>
      </c>
      <c r="D34" s="5"/>
      <c r="E34" s="6">
        <f>F33</f>
      </c>
      <c r="F34" s="6">
        <f>WORKDAY.INTL(E34,G34)</f>
      </c>
      <c r="G34" s="2">
        <v>20</v>
      </c>
      <c r="H34" s="2" t="str">
        <v>朱靖</v>
      </c>
      <c r="I34" s="2" t="str">
        <v>讯飞</v>
      </c>
      <c r="J34" s="2" t="str">
        <v>未开始</v>
      </c>
    </row>
    <row r="35">
      <c r="A35" s="4"/>
      <c r="B35" s="4"/>
      <c r="C35" s="5"/>
      <c r="D35" s="5"/>
      <c r="E35" s="6"/>
      <c r="F35" s="6"/>
      <c r="G35" s="2">
        <f>SUM(G2:G34)</f>
      </c>
      <c r="H35" s="2"/>
      <c r="I35" s="2" t="str">
        <v>讯飞</v>
      </c>
      <c r="J35" s="2"/>
    </row>
  </sheetData>
  <dataValidations count="1">
    <dataValidation allowBlank="true" errorStyle="stop" showErrorMessage="true" sqref="J2:J35" type="list">
      <formula1>"已完成,未开始,未通过,进行中"</formula1>
    </dataValidation>
  </dataValidation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17"/>
    <col collapsed="false" customWidth="true" hidden="false" max="3" min="3" style="0" width="37"/>
    <col collapsed="false" customWidth="true" hidden="false" max="4" min="4" style="0" width="42"/>
    <col collapsed="false" customWidth="true" hidden="false" max="5" min="5" style="0" width="10"/>
    <col collapsed="false" customWidth="true" hidden="false" max="6" min="6" style="0" width="32"/>
    <col collapsed="false" customWidth="true" hidden="false" max="7" min="7" style="0" width="12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10"/>
  </cols>
  <sheetData>
    <row r="1">
      <c r="A1" s="13" t="str">
        <v>大类</v>
      </c>
      <c r="B1" s="13" t="str">
        <v>小类</v>
      </c>
      <c r="C1" s="13" t="str">
        <v>功能调整点</v>
      </c>
      <c r="D1" s="13" t="str">
        <v>详细内容</v>
      </c>
      <c r="E1" s="14" t="str">
        <v>开始时间</v>
      </c>
      <c r="F1" s="14" t="str">
        <v>完成时间</v>
      </c>
      <c r="G1" s="13" t="str">
        <v>工作量预估</v>
      </c>
      <c r="H1" s="13" t="str">
        <v>负责人</v>
      </c>
      <c r="I1" s="13" t="str">
        <v>负责方</v>
      </c>
      <c r="J1" s="13" t="str">
        <v>状态</v>
      </c>
    </row>
    <row r="2">
      <c r="A2" s="4" t="str">
        <v>天翼云迁移</v>
      </c>
      <c r="B2" s="4" t="str">
        <v>资源评估</v>
      </c>
      <c r="C2" s="5" t="str">
        <v>新增线路接入北京机房梳理北京 5 现有资源，根据业务情况进行资源分 组，明确哪些资源迁移至华北 AZ1，哪些迁移至 华北 AZ</v>
      </c>
      <c r="D2" s="5"/>
      <c r="E2" s="2"/>
      <c r="F2" s="2" t="str">
        <v>T</v>
      </c>
      <c r="G2" s="2">
        <v>5</v>
      </c>
      <c r="H2" s="2"/>
      <c r="I2" s="2" t="str">
        <v>天翼云</v>
      </c>
      <c r="J2" s="2" t="str">
        <v>进行中</v>
      </c>
    </row>
    <row customHeight="true" ht="34" r="3">
      <c r="A3" s="4" t="str">
        <v>天翼云迁移</v>
      </c>
      <c r="B3" s="4" t="str">
        <v>环境搭建</v>
      </c>
      <c r="C3" s="5" t="str">
        <v>开通北京 5 至华北的临时专线，在华北开通迁移所 需的全部资源</v>
      </c>
      <c r="D3" s="5"/>
      <c r="E3" s="2"/>
      <c r="F3" s="2"/>
      <c r="G3" s="2">
        <v>5</v>
      </c>
      <c r="H3" s="2"/>
      <c r="I3" s="2" t="str">
        <v>天翼云</v>
      </c>
      <c r="J3" s="2"/>
    </row>
    <row customHeight="true" ht="34" r="4">
      <c r="A4" s="4" t="str">
        <v>天翼云迁移</v>
      </c>
      <c r="B4" s="4" t="str">
        <v>数据迁移</v>
      </c>
      <c r="C4" s="5" t="str">
        <v>通过迁移工具对云主机、弹性文件、对象存储、 RDS 数据库进行数据迁</v>
      </c>
      <c r="D4" s="5"/>
      <c r="E4" s="2"/>
      <c r="F4" s="2"/>
      <c r="G4" s="2">
        <v>20</v>
      </c>
      <c r="H4" s="2"/>
      <c r="I4" s="2" t="str">
        <v>天翼云</v>
      </c>
      <c r="J4" s="2"/>
    </row>
    <row customHeight="true" ht="34" r="5">
      <c r="A5" s="4" t="str">
        <v>天翼云迁移</v>
      </c>
      <c r="B5" s="4" t="str">
        <v>割接准备</v>
      </c>
      <c r="C5" s="5" t="str">
        <v>制定割接计划、完成备线割接、明确各环节操作及 保障人员</v>
      </c>
      <c r="D5" s="5"/>
      <c r="E5" s="2"/>
      <c r="F5" s="2"/>
      <c r="G5" s="2">
        <v>3</v>
      </c>
      <c r="H5" s="2"/>
      <c r="I5" s="2" t="str">
        <v>天翼云</v>
      </c>
      <c r="J5" s="2"/>
    </row>
    <row customHeight="true" ht="34" r="6">
      <c r="A6" s="4" t="str">
        <v>天翼云迁移</v>
      </c>
      <c r="B6" s="4" t="str">
        <v>业务割接</v>
      </c>
      <c r="C6" s="5" t="str">
        <v>按割接方案进行业务割接并验证，迁移完成</v>
      </c>
      <c r="D6" s="5"/>
      <c r="E6" s="2"/>
      <c r="F6" s="2"/>
      <c r="G6" s="2">
        <v>1</v>
      </c>
      <c r="H6" s="2"/>
      <c r="I6" s="2" t="str">
        <v>天翼云</v>
      </c>
      <c r="J6" s="2"/>
    </row>
    <row customHeight="true" ht="34" r="7">
      <c r="A7" s="4" t="str">
        <v>讯飞方案设计</v>
      </c>
      <c r="B7" s="4" t="str">
        <v>方案整理</v>
      </c>
      <c r="C7" s="5" t="str">
        <v>整体双中心双活计划</v>
      </c>
      <c r="D7" s="5" t="str">
        <v>1、完成整体建设计划编写、相关资源协调</v>
      </c>
      <c r="E7" s="16">
        <v>45500</v>
      </c>
      <c r="F7" s="7">
        <f>WORKDAY.INTL(E7,G7)</f>
      </c>
      <c r="G7" s="2">
        <v>5</v>
      </c>
      <c r="H7" s="2" t="str">
        <v>陈亚男</v>
      </c>
      <c r="I7" s="2" t="str">
        <v>讯飞</v>
      </c>
      <c r="J7" s="2" t="str">
        <v>未开始</v>
      </c>
    </row>
    <row customHeight="true" ht="34" r="8">
      <c r="A8" s="4" t="str">
        <v>讯飞方案设计</v>
      </c>
      <c r="B8" s="4" t="str">
        <v>方案整理</v>
      </c>
      <c r="C8" s="5" t="str">
        <v>整体双中心双活计划</v>
      </c>
      <c r="D8" s="5" t="str">
        <v>2、完成建设计划内部评审、优化调整</v>
      </c>
      <c r="E8" s="6">
        <f>F7</f>
      </c>
      <c r="F8" s="7">
        <f>WORKDAY.INTL(E8,G8)</f>
      </c>
      <c r="G8" s="2">
        <v>5</v>
      </c>
      <c r="H8" s="2" t="str">
        <v>陈亚男</v>
      </c>
      <c r="I8" s="2" t="str">
        <v>讯飞</v>
      </c>
      <c r="J8" s="2" t="str">
        <v>未开始</v>
      </c>
    </row>
    <row r="9">
      <c r="A9" s="4" t="str">
        <v>讯飞方案设计</v>
      </c>
      <c r="B9" s="4" t="str">
        <v>方案评估</v>
      </c>
      <c r="C9" s="5" t="str">
        <v>详细方案</v>
      </c>
      <c r="D9" s="5" t="str">
        <v>1、完成详细方案设计
</v>
      </c>
      <c r="E9" s="6">
        <f>F8</f>
      </c>
      <c r="F9" s="6">
        <f>WORKDAY.INTL(E9,G9)</f>
      </c>
      <c r="G9" s="2">
        <v>10</v>
      </c>
      <c r="H9" s="2" t="str">
        <v>陈亚男</v>
      </c>
      <c r="I9" s="2" t="str">
        <v>讯飞</v>
      </c>
      <c r="J9" s="2" t="str">
        <v>未开始</v>
      </c>
    </row>
    <row customHeight="true" ht="45" r="10">
      <c r="A10" s="4" t="str">
        <v>讯飞方案设计</v>
      </c>
      <c r="B10" s="4" t="str">
        <v>方案评估</v>
      </c>
      <c r="C10" s="5" t="str">
        <v>详细方案</v>
      </c>
      <c r="D10" s="5" t="str">
        <v>2、完成详细方案应用可行性验证</v>
      </c>
      <c r="E10" s="6">
        <f>F9</f>
      </c>
      <c r="F10" s="6">
        <f>WORKDAY.INTL(E10,G10)</f>
      </c>
      <c r="G10" s="2">
        <v>10</v>
      </c>
      <c r="H10" s="2" t="str">
        <v>陈亚男</v>
      </c>
      <c r="I10" s="2" t="str">
        <v>讯飞</v>
      </c>
      <c r="J10" s="2" t="str">
        <v>未开始</v>
      </c>
    </row>
    <row customHeight="true" ht="45" r="11">
      <c r="A11" s="4" t="str">
        <v>讯飞方案设计</v>
      </c>
      <c r="B11" s="4" t="str">
        <v>方案评估</v>
      </c>
      <c r="C11" s="5" t="str">
        <v>详细方案</v>
      </c>
      <c r="D11" s="5" t="str">
        <v>3、完成详细方案中间件可行性验证</v>
      </c>
      <c r="E11" s="6">
        <f>F10</f>
      </c>
      <c r="F11" s="6">
        <f>WORKDAY.INTL(E11,G11)</f>
      </c>
      <c r="G11" s="2">
        <v>5</v>
      </c>
      <c r="H11" s="2" t="str">
        <v>陈亚男</v>
      </c>
      <c r="I11" s="2" t="str">
        <v>讯飞</v>
      </c>
      <c r="J11" s="2" t="str">
        <v>未开始</v>
      </c>
    </row>
    <row customHeight="true" ht="45" r="12">
      <c r="A12" s="4" t="str">
        <v>讯飞方案设计</v>
      </c>
      <c r="B12" s="4" t="str">
        <v>方案评估</v>
      </c>
      <c r="C12" s="5" t="str">
        <v>详细方案</v>
      </c>
      <c r="D12" s="5" t="str">
        <v>4、完成详细方案评审</v>
      </c>
      <c r="E12" s="6">
        <f>F11</f>
      </c>
      <c r="F12" s="6">
        <f>WORKDAY.INTL(E12,G12)</f>
      </c>
      <c r="G12" s="2">
        <v>5</v>
      </c>
      <c r="H12" s="2" t="str">
        <v>陈亚男</v>
      </c>
      <c r="I12" s="2" t="str">
        <v>讯飞</v>
      </c>
      <c r="J12" s="2" t="str">
        <v>未开始</v>
      </c>
    </row>
    <row customHeight="true" ht="45" r="13">
      <c r="A13" s="4" t="str">
        <v>讯飞方案设计</v>
      </c>
      <c r="B13" s="4" t="str">
        <v>方案评估</v>
      </c>
      <c r="C13" s="5" t="str">
        <v>详细方案</v>
      </c>
      <c r="D13" s="5" t="str">
        <v>4、完成详细方案修改</v>
      </c>
      <c r="E13" s="6">
        <f>F12</f>
      </c>
      <c r="F13" s="6">
        <f>WORKDAY.INTL(E13,G13)</f>
      </c>
      <c r="G13" s="2">
        <v>10</v>
      </c>
      <c r="H13" s="2" t="str">
        <v>陈亚男</v>
      </c>
      <c r="I13" s="2" t="str">
        <v>讯飞</v>
      </c>
      <c r="J13" s="2"/>
    </row>
    <row customHeight="true" ht="45" r="14">
      <c r="A14" s="4" t="str">
        <v>讯飞方案设计</v>
      </c>
      <c r="B14" s="4" t="str">
        <v>方案执行</v>
      </c>
      <c r="C14" s="5" t="str">
        <v>详细方案方案执行跟踪</v>
      </c>
      <c r="D14" s="5" t="str">
        <v>5、完成融通侧双中心服务器资源协调与建设计划同步
6、跟踪整体建设方案、进度</v>
      </c>
      <c r="E14" s="6">
        <f>F13</f>
      </c>
      <c r="F14" s="6">
        <f>WORKDAY.INTL(E14,G14)</f>
      </c>
      <c r="G14" s="2">
        <v>60</v>
      </c>
      <c r="H14" s="2" t="str">
        <v>陈亚男</v>
      </c>
      <c r="I14" s="2" t="str">
        <v>讯飞</v>
      </c>
      <c r="J14" s="2" t="str">
        <v>未开始</v>
      </c>
    </row>
    <row customHeight="true" ht="19" r="15">
      <c r="A15" s="4" t="str">
        <v>讯飞方案设计</v>
      </c>
      <c r="B15" s="4" t="str">
        <v>资源评估</v>
      </c>
      <c r="C15" s="5" t="str">
        <v>根据天翼云规划的机器进行应用服务规划</v>
      </c>
      <c r="D15" s="5" t="str">
        <v>1、将单中心、双集群梳理为双中心双集群</v>
      </c>
      <c r="E15" s="6">
        <f>F8</f>
      </c>
      <c r="F15" s="6">
        <f>WORKDAY.INTL(E15,G15)</f>
      </c>
      <c r="G15" s="2">
        <v>5</v>
      </c>
      <c r="H15" s="2" t="str">
        <v>待协调3</v>
      </c>
      <c r="I15" s="2" t="str">
        <v>讯飞</v>
      </c>
      <c r="J15" s="2" t="str">
        <v>未开始</v>
      </c>
    </row>
    <row customHeight="true" ht="36" r="16">
      <c r="A16" s="4" t="str">
        <v>讯飞服务迁移</v>
      </c>
      <c r="B16" s="4" t="str">
        <v>网络关系梳理</v>
      </c>
      <c r="C16" s="5" t="str">
        <v>根据天翼云迁移后机器网络，进行网络关系梳理</v>
      </c>
      <c r="D16" s="5" t="str">
        <v>1、梳理双中心网络关系</v>
      </c>
      <c r="E16" s="6">
        <f>F15</f>
      </c>
      <c r="F16" s="7">
        <f>WORKDAY.INTL(E16,G16)</f>
      </c>
      <c r="G16" s="2">
        <v>5</v>
      </c>
      <c r="H16" s="2" t="str">
        <v>待协调3</v>
      </c>
      <c r="I16" s="2" t="str">
        <v>讯飞</v>
      </c>
      <c r="J16" s="2" t="str">
        <v>未开始</v>
      </c>
    </row>
    <row customHeight="true" ht="34" r="17">
      <c r="A17" s="4" t="str">
        <v>讯飞方案设计</v>
      </c>
      <c r="B17" s="4" t="str">
        <v>计划输出</v>
      </c>
      <c r="C17" s="5" t="str">
        <v>产品改造详细计划输出</v>
      </c>
      <c r="D17" s="5" t="str">
        <v>1、涉及产品改造方案输出</v>
      </c>
      <c r="E17" s="6">
        <f>E9</f>
      </c>
      <c r="F17" s="6">
        <f>WORKDAY.INTL(E17,G17)</f>
      </c>
      <c r="G17" s="2">
        <v>10</v>
      </c>
      <c r="H17" s="2" t="str">
        <v>待协调1</v>
      </c>
      <c r="I17" s="2" t="str">
        <v>讯飞</v>
      </c>
      <c r="J17" s="2" t="str">
        <v>未开始</v>
      </c>
    </row>
    <row customHeight="true" ht="34" r="18">
      <c r="A18" s="4" t="str">
        <v>讯飞方案设计</v>
      </c>
      <c r="B18" s="4" t="str">
        <v>计划输出</v>
      </c>
      <c r="C18" s="5" t="str">
        <v>产品改造详细计划输出</v>
      </c>
      <c r="D18" s="5" t="str">
        <v>2、涉及产品改造方案方案评审</v>
      </c>
      <c r="E18" s="6">
        <f>F17</f>
      </c>
      <c r="F18" s="6">
        <f>WORKDAY.INTL(E18,G18)</f>
      </c>
      <c r="G18" s="2">
        <v>10</v>
      </c>
      <c r="H18" s="2" t="str">
        <v>待协调1</v>
      </c>
      <c r="I18" s="2" t="str">
        <v>讯飞</v>
      </c>
      <c r="J18" s="2" t="str">
        <v>未开始</v>
      </c>
    </row>
    <row customHeight="true" ht="34" r="19">
      <c r="A19" s="4" t="str">
        <v>讯飞方案设计</v>
      </c>
      <c r="B19" s="4" t="str">
        <v>方案验证</v>
      </c>
      <c r="C19" s="5" t="str">
        <v>产品方案验证</v>
      </c>
      <c r="D19" s="5" t="str">
        <v>3、方案验证</v>
      </c>
      <c r="E19" s="6">
        <f>F18</f>
      </c>
      <c r="F19" s="7">
        <f>WORKDAY.INTL(E19,G19)</f>
      </c>
      <c r="G19" s="2">
        <v>10</v>
      </c>
      <c r="H19" s="2" t="str">
        <v>待协调1</v>
      </c>
      <c r="I19" s="2" t="str">
        <v>讯飞</v>
      </c>
      <c r="J19" s="2" t="str">
        <v>未开始</v>
      </c>
    </row>
    <row customHeight="true" ht="34" r="20">
      <c r="A20" s="4" t="str">
        <v>讯飞方案设计</v>
      </c>
      <c r="B20" s="4" t="str">
        <v>方案验证</v>
      </c>
      <c r="C20" s="5" t="str">
        <v>产品方案调整</v>
      </c>
      <c r="D20" s="5" t="str">
        <v>4、方案调整</v>
      </c>
      <c r="E20" s="6">
        <f>F19</f>
      </c>
      <c r="F20" s="7">
        <f>WORKDAY.INTL(E20,G20)</f>
      </c>
      <c r="G20" s="2">
        <v>10</v>
      </c>
      <c r="H20" s="2" t="str">
        <v>待协调1</v>
      </c>
      <c r="I20" s="2" t="str">
        <v>讯飞</v>
      </c>
      <c r="J20" s="2" t="str">
        <v>未开始</v>
      </c>
    </row>
    <row customHeight="true" ht="34" r="21">
      <c r="A21" s="4" t="str">
        <v>讯飞方案设计</v>
      </c>
      <c r="B21" s="4" t="str">
        <v>计划输出</v>
      </c>
      <c r="C21" s="5" t="str">
        <v>中间件详细计划输出</v>
      </c>
      <c r="D21" s="5" t="str">
        <v>1、涉及中间件改造方案输出
</v>
      </c>
      <c r="E21" s="6">
        <f>E9</f>
      </c>
      <c r="F21" s="6">
        <f>WORKDAY.INTL(E21,G21)</f>
      </c>
      <c r="G21" s="2">
        <v>10</v>
      </c>
      <c r="H21" s="2" t="str">
        <v>待协调2</v>
      </c>
      <c r="I21" s="2" t="str">
        <v>讯飞</v>
      </c>
      <c r="J21" s="2" t="str">
        <v>未开始</v>
      </c>
    </row>
    <row customHeight="true" ht="34" r="22">
      <c r="A22" s="4" t="str">
        <v>讯飞方案设计</v>
      </c>
      <c r="B22" s="4" t="str">
        <v>计划输出</v>
      </c>
      <c r="C22" s="5" t="str">
        <v>中间件详细计划输出</v>
      </c>
      <c r="D22" s="5" t="str">
        <v>2、方案评审</v>
      </c>
      <c r="E22" s="6">
        <f>F21</f>
      </c>
      <c r="F22" s="6">
        <f>WORKDAY.INTL(E22,G22)</f>
      </c>
      <c r="G22" s="2">
        <v>10</v>
      </c>
      <c r="H22" s="2" t="str">
        <v>待协调2</v>
      </c>
      <c r="I22" s="2" t="str">
        <v>讯飞</v>
      </c>
      <c r="J22" s="2" t="str">
        <v>未开始</v>
      </c>
    </row>
    <row customHeight="true" ht="34" r="23">
      <c r="A23" s="4" t="str">
        <v>讯飞方案设计</v>
      </c>
      <c r="B23" s="4" t="str">
        <v>方案验证</v>
      </c>
      <c r="C23" s="5" t="str">
        <v>中间件方案验证</v>
      </c>
      <c r="D23" s="5" t="str">
        <v>3、方案验证</v>
      </c>
      <c r="E23" s="6">
        <f>F22</f>
      </c>
      <c r="F23" s="7">
        <f>WORKDAY.INTL(E23,G23)</f>
      </c>
      <c r="G23" s="2">
        <v>10</v>
      </c>
      <c r="H23" s="2" t="str">
        <v>待协调2</v>
      </c>
      <c r="I23" s="2" t="str">
        <v>讯飞</v>
      </c>
      <c r="J23" s="2" t="str">
        <v>未开始</v>
      </c>
    </row>
    <row customHeight="true" ht="34" r="24">
      <c r="A24" s="4" t="str">
        <v>讯飞方案设计</v>
      </c>
      <c r="B24" s="4" t="str">
        <v>方案验证</v>
      </c>
      <c r="C24" s="5" t="str">
        <v>中间件方案调整</v>
      </c>
      <c r="D24" s="5" t="str">
        <v>4、方案调整</v>
      </c>
      <c r="E24" s="6">
        <f>F23</f>
      </c>
      <c r="F24" s="7">
        <f>WORKDAY.INTL(E24,G24)</f>
      </c>
      <c r="G24" s="2">
        <v>10</v>
      </c>
      <c r="H24" s="2" t="str">
        <v>待协调2</v>
      </c>
      <c r="I24" s="2" t="str">
        <v>讯飞</v>
      </c>
      <c r="J24" s="2" t="str">
        <v>未开始</v>
      </c>
    </row>
    <row customHeight="true" ht="19" r="25">
      <c r="A25" s="4" t="str">
        <v>讯飞服务改造</v>
      </c>
      <c r="B25" s="4" t="str">
        <v>语音系统改造</v>
      </c>
      <c r="C25" s="5" t="str">
        <v>AICC座席工作台</v>
      </c>
      <c r="D25" s="5" t="str">
        <v>1、应用改造</v>
      </c>
      <c r="E25" s="6">
        <f>F21</f>
      </c>
      <c r="F25" s="6">
        <f>WORKDAY.INTL(E25,G25)</f>
      </c>
      <c r="G25" s="2">
        <v>10</v>
      </c>
      <c r="H25" s="2" t="str">
        <v>待协调1</v>
      </c>
      <c r="I25" s="2" t="str">
        <v>讯飞</v>
      </c>
      <c r="J25" s="2" t="str">
        <v>未开始</v>
      </c>
    </row>
    <row customHeight="true" ht="19" r="26">
      <c r="A26" s="4" t="str">
        <v>讯飞服务改造</v>
      </c>
      <c r="B26" s="4" t="str">
        <v>语音系统改造</v>
      </c>
      <c r="C26" s="5" t="str">
        <v>AICC座席工作台</v>
      </c>
      <c r="D26" s="5" t="str">
        <v>2、应用功能测试</v>
      </c>
      <c r="E26" s="6">
        <f>F25</f>
      </c>
      <c r="F26" s="6">
        <f>WORKDAY.INTL(E26,G26)</f>
      </c>
      <c r="G26" s="2">
        <v>10</v>
      </c>
      <c r="H26" s="2" t="str">
        <v>待协调1</v>
      </c>
      <c r="I26" s="2" t="str">
        <v>讯飞</v>
      </c>
      <c r="J26" s="2" t="str">
        <v>未开始</v>
      </c>
    </row>
    <row customHeight="true" ht="19" r="27">
      <c r="A27" s="4" t="str">
        <v>讯飞服务改造</v>
      </c>
      <c r="B27" s="4" t="str">
        <v>语音系统改造</v>
      </c>
      <c r="C27" s="5" t="str">
        <v>AICC座席工作台</v>
      </c>
      <c r="D27" s="5" t="str">
        <v>3、应用性能测试</v>
      </c>
      <c r="E27" s="6">
        <f>F26</f>
      </c>
      <c r="F27" s="6">
        <f>WORKDAY.INTL(E27,G27)</f>
      </c>
      <c r="G27" s="2">
        <v>10</v>
      </c>
      <c r="H27" s="2" t="str">
        <v>待协调1</v>
      </c>
      <c r="I27" s="2" t="str">
        <v>讯飞</v>
      </c>
      <c r="J27" s="2" t="str">
        <v>未开始</v>
      </c>
    </row>
    <row customHeight="true" ht="19" r="28">
      <c r="A28" s="4" t="str">
        <v>讯飞服务改造</v>
      </c>
      <c r="B28" s="4" t="str">
        <v>语音系统改造</v>
      </c>
      <c r="C28" s="5" t="str">
        <v>软交换平台</v>
      </c>
      <c r="D28" s="5" t="str">
        <v>1、应用改造</v>
      </c>
      <c r="E28" s="6">
        <f>F21</f>
      </c>
      <c r="F28" s="6">
        <f>WORKDAY.INTL(E28,G28)</f>
      </c>
      <c r="G28" s="2">
        <v>10</v>
      </c>
      <c r="H28" s="2" t="str">
        <v>待协调2</v>
      </c>
      <c r="I28" s="2" t="str">
        <v>讯飞</v>
      </c>
      <c r="J28" s="2" t="str">
        <v>未开始</v>
      </c>
    </row>
    <row customHeight="true" ht="19" r="29">
      <c r="A29" s="4" t="str">
        <v>讯飞服务改造</v>
      </c>
      <c r="B29" s="4" t="str">
        <v>语音系统改造</v>
      </c>
      <c r="C29" s="5" t="str">
        <v>软交换平台</v>
      </c>
      <c r="D29" s="5" t="str">
        <v>2、应用功能测试</v>
      </c>
      <c r="E29" s="6">
        <f>F28</f>
      </c>
      <c r="F29" s="6">
        <f>WORKDAY.INTL(E29,G29)</f>
      </c>
      <c r="G29" s="2">
        <v>10</v>
      </c>
      <c r="H29" s="2" t="str">
        <v>待协调2</v>
      </c>
      <c r="I29" s="2" t="str">
        <v>讯飞</v>
      </c>
      <c r="J29" s="2" t="str">
        <v>未开始</v>
      </c>
    </row>
    <row customHeight="true" ht="19" r="30">
      <c r="A30" s="4" t="str">
        <v>讯飞服务改造</v>
      </c>
      <c r="B30" s="4" t="str">
        <v>语音系统改造</v>
      </c>
      <c r="C30" s="5" t="str">
        <v>软交换平台</v>
      </c>
      <c r="D30" s="5" t="str">
        <v>3、应用性能测试</v>
      </c>
      <c r="E30" s="6">
        <f>F29</f>
      </c>
      <c r="F30" s="6">
        <f>WORKDAY.INTL(E30,G30)</f>
      </c>
      <c r="G30" s="2">
        <v>10</v>
      </c>
      <c r="H30" s="2" t="str">
        <v>待协调2</v>
      </c>
      <c r="I30" s="2" t="str">
        <v>讯飞</v>
      </c>
      <c r="J30" s="2" t="str">
        <v>未开始</v>
      </c>
    </row>
    <row customHeight="true" ht="19" r="31">
      <c r="A31" s="4" t="str">
        <v>讯飞服务改造</v>
      </c>
      <c r="B31" s="4" t="str">
        <v>在线系统改造</v>
      </c>
      <c r="C31" s="5" t="str">
        <v>IM文字客服</v>
      </c>
      <c r="D31" s="5" t="str">
        <v>1、应用改造</v>
      </c>
      <c r="E31" s="6">
        <f>F21</f>
      </c>
      <c r="F31" s="6">
        <f>WORKDAY.INTL(E31,G31)</f>
      </c>
      <c r="G31" s="2">
        <v>10</v>
      </c>
      <c r="H31" s="2" t="str">
        <v>待协调3</v>
      </c>
      <c r="I31" s="2" t="str">
        <v>讯飞</v>
      </c>
      <c r="J31" s="2" t="str">
        <v>未开始</v>
      </c>
      <c r="K31" s="1"/>
    </row>
    <row customHeight="true" ht="19" r="32">
      <c r="A32" s="4" t="str">
        <v>讯飞服务改造</v>
      </c>
      <c r="B32" s="4" t="str">
        <v>在线系统改造</v>
      </c>
      <c r="C32" s="5" t="str">
        <v>IM文字客服</v>
      </c>
      <c r="D32" s="5" t="str">
        <v>2、应用功能测试</v>
      </c>
      <c r="E32" s="6">
        <f>F31</f>
      </c>
      <c r="F32" s="6">
        <f>WORKDAY.INTL(E32,G32)</f>
      </c>
      <c r="G32" s="2">
        <v>10</v>
      </c>
      <c r="H32" s="2" t="str">
        <v>待协调3</v>
      </c>
      <c r="I32" s="2" t="str">
        <v>讯飞</v>
      </c>
      <c r="J32" s="2" t="str">
        <v>未开始</v>
      </c>
      <c r="K32" s="1"/>
    </row>
    <row customHeight="true" ht="19" r="33">
      <c r="A33" s="4" t="str">
        <v>讯飞服务改造</v>
      </c>
      <c r="B33" s="4" t="str">
        <v>在线系统改造</v>
      </c>
      <c r="C33" s="5" t="str">
        <v>IM文字客服</v>
      </c>
      <c r="D33" s="5" t="str">
        <v>3、应用性能测试</v>
      </c>
      <c r="E33" s="6">
        <f>F32</f>
      </c>
      <c r="F33" s="6">
        <f>WORKDAY.INTL(E33,G33)</f>
      </c>
      <c r="G33" s="2">
        <v>10</v>
      </c>
      <c r="H33" s="2" t="str">
        <v>待协调3</v>
      </c>
      <c r="I33" s="2" t="str">
        <v>讯飞</v>
      </c>
      <c r="J33" s="2" t="str">
        <v>未开始</v>
      </c>
      <c r="K33" s="1"/>
    </row>
    <row customHeight="true" ht="19" r="34">
      <c r="A34" s="4" t="str">
        <v>讯飞服务改造</v>
      </c>
      <c r="B34" s="4" t="str">
        <v>智能化服务改造</v>
      </c>
      <c r="C34" s="5" t="str">
        <v>融智知识库</v>
      </c>
      <c r="D34" s="5" t="str">
        <v>1、应用改造</v>
      </c>
      <c r="E34" s="6">
        <f>F21</f>
      </c>
      <c r="F34" s="6">
        <f>WORKDAY.INTL(E34,G34)</f>
      </c>
      <c r="G34" s="2">
        <v>10</v>
      </c>
      <c r="H34" s="2" t="str">
        <v>待协调4</v>
      </c>
      <c r="I34" s="2" t="str">
        <v>讯飞</v>
      </c>
      <c r="J34" s="2" t="str">
        <v>未开始</v>
      </c>
      <c r="K34" s="1"/>
    </row>
    <row customHeight="true" ht="19" r="35">
      <c r="A35" s="4" t="str">
        <v>讯飞服务改造</v>
      </c>
      <c r="B35" s="4" t="str">
        <v>智能化服务改造</v>
      </c>
      <c r="C35" s="5" t="str">
        <v>融智知识库</v>
      </c>
      <c r="D35" s="5" t="str">
        <v>2、应用功能测试</v>
      </c>
      <c r="E35" s="6">
        <f>F34</f>
      </c>
      <c r="F35" s="6">
        <f>WORKDAY.INTL(E35,G35)</f>
      </c>
      <c r="G35" s="2">
        <v>10</v>
      </c>
      <c r="H35" s="2" t="str">
        <v>待协调4</v>
      </c>
      <c r="I35" s="2" t="str">
        <v>讯飞</v>
      </c>
      <c r="J35" s="2" t="str">
        <v>未开始</v>
      </c>
      <c r="K35" s="1"/>
    </row>
    <row customHeight="true" ht="19" r="36">
      <c r="A36" s="4" t="str">
        <v>讯飞服务改造</v>
      </c>
      <c r="B36" s="4" t="str">
        <v>智能化服务改造</v>
      </c>
      <c r="C36" s="5" t="str">
        <v>融智知识库</v>
      </c>
      <c r="D36" s="5" t="str">
        <v>3、应用性能测试</v>
      </c>
      <c r="E36" s="6">
        <f>F35</f>
      </c>
      <c r="F36" s="6">
        <f>WORKDAY.INTL(E36,G36)</f>
      </c>
      <c r="G36" s="2">
        <v>10</v>
      </c>
      <c r="H36" s="2" t="str">
        <v>待协调4</v>
      </c>
      <c r="I36" s="2" t="str">
        <v>讯飞</v>
      </c>
      <c r="J36" s="2" t="str">
        <v>未开始</v>
      </c>
      <c r="K36" s="1"/>
    </row>
    <row customHeight="true" ht="19" r="37">
      <c r="A37" s="8" t="str">
        <v>讯飞服务改造</v>
      </c>
      <c r="B37" s="8" t="str">
        <v>智能化服务改造</v>
      </c>
      <c r="C37" s="9" t="str">
        <v>AI+管理平台</v>
      </c>
      <c r="D37" s="9"/>
      <c r="E37" s="10"/>
      <c r="F37" s="10"/>
      <c r="G37" s="11">
        <v>30</v>
      </c>
      <c r="H37" s="11" t="str">
        <v>待协调5</v>
      </c>
      <c r="I37" s="11" t="str">
        <v>讯飞</v>
      </c>
      <c r="J37" s="11" t="str">
        <v>未开始</v>
      </c>
      <c r="K37" s="12"/>
    </row>
    <row customHeight="true" ht="19" r="38">
      <c r="A38" s="8" t="str">
        <v>讯飞服务改造</v>
      </c>
      <c r="B38" s="8" t="str">
        <v>智能化服务改造</v>
      </c>
      <c r="C38" s="9" t="str">
        <v>智能外呼</v>
      </c>
      <c r="D38" s="9"/>
      <c r="E38" s="10"/>
      <c r="F38" s="10"/>
      <c r="G38" s="11">
        <v>30</v>
      </c>
      <c r="H38" s="11" t="str">
        <v>待协调5</v>
      </c>
      <c r="I38" s="11" t="str">
        <v>讯飞</v>
      </c>
      <c r="J38" s="11" t="str">
        <v>未开始</v>
      </c>
      <c r="K38" s="12"/>
    </row>
    <row customHeight="true" ht="19" r="39">
      <c r="A39" s="8" t="str">
        <v>讯飞服务改造</v>
      </c>
      <c r="B39" s="8" t="str">
        <v>智能化服务改造</v>
      </c>
      <c r="C39" s="9" t="str">
        <v>智能质检</v>
      </c>
      <c r="D39" s="9"/>
      <c r="E39" s="10"/>
      <c r="F39" s="10"/>
      <c r="G39" s="11">
        <v>30</v>
      </c>
      <c r="H39" s="11" t="str">
        <v>待协调5</v>
      </c>
      <c r="I39" s="11" t="str">
        <v>讯飞</v>
      </c>
      <c r="J39" s="11" t="str">
        <v>未开始</v>
      </c>
      <c r="K39" s="12"/>
    </row>
    <row customHeight="true" ht="19" r="40">
      <c r="A40" s="8" t="str">
        <v>讯飞服务改造</v>
      </c>
      <c r="B40" s="8" t="str">
        <v>智能化服务改造</v>
      </c>
      <c r="C40" s="9" t="str">
        <v>智能助手</v>
      </c>
      <c r="D40" s="9"/>
      <c r="E40" s="10"/>
      <c r="F40" s="10"/>
      <c r="G40" s="11">
        <v>30</v>
      </c>
      <c r="H40" s="11" t="str">
        <v>待协调5</v>
      </c>
      <c r="I40" s="11" t="str">
        <v>讯飞</v>
      </c>
      <c r="J40" s="11" t="str">
        <v>未开始</v>
      </c>
      <c r="K40" s="12"/>
    </row>
    <row customHeight="true" ht="19" r="41">
      <c r="A41" s="8" t="str">
        <v>讯飞服务改造</v>
      </c>
      <c r="B41" s="8" t="str">
        <v>周边服务改造</v>
      </c>
      <c r="C41" s="9" t="str">
        <v>人工质检</v>
      </c>
      <c r="D41" s="9"/>
      <c r="E41" s="10"/>
      <c r="F41" s="10"/>
      <c r="G41" s="11">
        <v>30</v>
      </c>
      <c r="H41" s="11" t="str">
        <v>待协调5</v>
      </c>
      <c r="I41" s="11" t="str">
        <v>讯飞</v>
      </c>
      <c r="J41" s="11" t="str">
        <v>未开始</v>
      </c>
      <c r="K41" s="12"/>
    </row>
    <row customHeight="true" ht="19" r="42">
      <c r="A42" s="8" t="str">
        <v>讯飞服务改造</v>
      </c>
      <c r="B42" s="8" t="str">
        <v>周边服务改造</v>
      </c>
      <c r="C42" s="9" t="str">
        <v>监控平台</v>
      </c>
      <c r="D42" s="9"/>
      <c r="E42" s="10"/>
      <c r="F42" s="10"/>
      <c r="G42" s="11">
        <v>30</v>
      </c>
      <c r="H42" s="11" t="str">
        <v>待协调5</v>
      </c>
      <c r="I42" s="11" t="str">
        <v>讯飞</v>
      </c>
      <c r="J42" s="11" t="str">
        <v>未开始</v>
      </c>
      <c r="K42" s="12"/>
    </row>
    <row customHeight="true" ht="19" r="43">
      <c r="A43" s="8" t="str">
        <v>讯飞服务改造</v>
      </c>
      <c r="B43" s="8" t="str">
        <v>数据服务改造</v>
      </c>
      <c r="C43" s="9" t="str">
        <v>数据运营/能力平台</v>
      </c>
      <c r="D43" s="9"/>
      <c r="E43" s="10"/>
      <c r="F43" s="10"/>
      <c r="G43" s="11">
        <v>30</v>
      </c>
      <c r="H43" s="11" t="str">
        <v>待协调5</v>
      </c>
      <c r="I43" s="11" t="str">
        <v>讯飞</v>
      </c>
      <c r="J43" s="11" t="str">
        <v>未开始</v>
      </c>
      <c r="K43" s="12"/>
    </row>
    <row customHeight="true" ht="19" r="44">
      <c r="A44" s="4" t="str">
        <v>讯飞服务改造</v>
      </c>
      <c r="B44" s="4" t="str">
        <v>周边服务改造</v>
      </c>
      <c r="C44" s="5" t="str">
        <v>UAP</v>
      </c>
      <c r="D44" s="5" t="str">
        <v>1、应用改造</v>
      </c>
      <c r="E44" s="6">
        <f>F21</f>
      </c>
      <c r="F44" s="6">
        <f>WORKDAY.INTL(E44,G44)</f>
      </c>
      <c r="G44" s="2">
        <v>10</v>
      </c>
      <c r="H44" s="2" t="str">
        <v>待协调3</v>
      </c>
      <c r="I44" s="2" t="str">
        <v>讯飞</v>
      </c>
      <c r="J44" s="2" t="str">
        <v>未开始</v>
      </c>
    </row>
    <row customHeight="true" ht="19" r="45">
      <c r="A45" s="4" t="str">
        <v>讯飞服务改造</v>
      </c>
      <c r="B45" s="4" t="str">
        <v>周边服务改造</v>
      </c>
      <c r="C45" s="5" t="str">
        <v>UAP</v>
      </c>
      <c r="D45" s="5" t="str">
        <v>2、应用功能测试</v>
      </c>
      <c r="E45" s="6">
        <f>F44</f>
      </c>
      <c r="F45" s="6">
        <f>WORKDAY.INTL(E45,G45)</f>
      </c>
      <c r="G45" s="2">
        <v>10</v>
      </c>
      <c r="H45" s="2" t="str">
        <v>待协调3</v>
      </c>
      <c r="I45" s="2" t="str">
        <v>讯飞</v>
      </c>
      <c r="J45" s="2" t="str">
        <v>未开始</v>
      </c>
    </row>
    <row customHeight="true" ht="19" r="46">
      <c r="A46" s="4" t="str">
        <v>讯飞服务改造</v>
      </c>
      <c r="B46" s="4" t="str">
        <v>周边服务改造</v>
      </c>
      <c r="C46" s="5" t="str">
        <v>UAP</v>
      </c>
      <c r="D46" s="5" t="str">
        <v>3、应用性能测试</v>
      </c>
      <c r="E46" s="6">
        <f>F45</f>
      </c>
      <c r="F46" s="6">
        <f>WORKDAY.INTL(E46,G46)</f>
      </c>
      <c r="G46" s="2">
        <v>10</v>
      </c>
      <c r="H46" s="2" t="str">
        <v>待协调3</v>
      </c>
      <c r="I46" s="2" t="str">
        <v>讯飞</v>
      </c>
      <c r="J46" s="2" t="str">
        <v>未开始</v>
      </c>
    </row>
    <row customHeight="true" ht="19" r="47">
      <c r="A47" s="4" t="str">
        <v>讯飞服务改造</v>
      </c>
      <c r="B47" s="4" t="str">
        <v>存储系统改造</v>
      </c>
      <c r="C47" s="5" t="str">
        <v>Storage\S3协议对接等</v>
      </c>
      <c r="D47" s="5" t="str">
        <v>1、应用改造</v>
      </c>
      <c r="E47" s="6">
        <f>F21</f>
      </c>
      <c r="F47" s="6">
        <f>WORKDAY.INTL(E47,G47)</f>
      </c>
      <c r="G47" s="2">
        <v>10</v>
      </c>
      <c r="H47" s="2" t="str">
        <v>待协调4</v>
      </c>
      <c r="I47" s="2" t="str">
        <v>讯飞</v>
      </c>
      <c r="J47" s="2" t="str">
        <v>未开始</v>
      </c>
    </row>
    <row customHeight="true" ht="19" r="48">
      <c r="A48" s="4" t="str">
        <v>讯飞服务改造</v>
      </c>
      <c r="B48" s="4" t="str">
        <v>存储系统改造</v>
      </c>
      <c r="C48" s="5" t="str">
        <v>Storage\S3协议对接等</v>
      </c>
      <c r="D48" s="5" t="str">
        <v>2、应用功能测试</v>
      </c>
      <c r="E48" s="6">
        <f>F47</f>
      </c>
      <c r="F48" s="6">
        <f>WORKDAY.INTL(E48,G48)</f>
      </c>
      <c r="G48" s="2">
        <v>10</v>
      </c>
      <c r="H48" s="2" t="str">
        <v>待协调4</v>
      </c>
      <c r="I48" s="2" t="str">
        <v>讯飞</v>
      </c>
      <c r="J48" s="2" t="str">
        <v>未开始</v>
      </c>
    </row>
    <row customHeight="true" ht="19" r="49">
      <c r="A49" s="4" t="str">
        <v>讯飞服务改造</v>
      </c>
      <c r="B49" s="4" t="str">
        <v>存储系统改造</v>
      </c>
      <c r="C49" s="5" t="str">
        <v>Storage\S3协议对接等</v>
      </c>
      <c r="D49" s="5" t="str">
        <v>3、应用性能测试</v>
      </c>
      <c r="E49" s="6">
        <f>F48</f>
      </c>
      <c r="F49" s="6">
        <f>WORKDAY.INTL(E49,G49)</f>
      </c>
      <c r="G49" s="2">
        <v>10</v>
      </c>
      <c r="H49" s="2" t="str">
        <v>待协调4</v>
      </c>
      <c r="I49" s="2" t="str">
        <v>讯飞</v>
      </c>
      <c r="J49" s="2" t="str">
        <v>未开始</v>
      </c>
    </row>
    <row r="50">
      <c r="A50" s="4" t="str">
        <v>讯飞服务改造</v>
      </c>
      <c r="B50" s="4" t="str">
        <v>中间件同步工具研发</v>
      </c>
      <c r="C50" s="5" t="str">
        <v>天翼云无法上云中间件改造</v>
      </c>
      <c r="D50" s="5" t="str">
        <v>1、中间件双中心方案计划输出</v>
      </c>
      <c r="E50" s="6">
        <f>F21</f>
      </c>
      <c r="F50" s="6">
        <f>WORKDAY.INTL(E50,G50)</f>
      </c>
      <c r="G50" s="2">
        <v>10</v>
      </c>
      <c r="H50" s="2" t="str">
        <v>待协调2</v>
      </c>
      <c r="I50" s="2" t="str">
        <v>讯飞</v>
      </c>
      <c r="J50" s="2" t="str">
        <v>未开始</v>
      </c>
    </row>
    <row customHeight="true" ht="19" r="51">
      <c r="A51" s="4" t="str">
        <v>讯飞服务改造</v>
      </c>
      <c r="B51" s="4" t="str">
        <v>中间件同步工具研发</v>
      </c>
      <c r="C51" s="5" t="str">
        <v>天翼云无法上云中间件改造</v>
      </c>
      <c r="D51" s="5" t="str">
        <v>2、中间件双中心改造</v>
      </c>
      <c r="E51" s="6">
        <f>F50</f>
      </c>
      <c r="F51" s="6">
        <f>WORKDAY.INTL(E51,G51)</f>
      </c>
      <c r="G51" s="2">
        <v>25</v>
      </c>
      <c r="H51" s="2" t="str">
        <v>待协调2</v>
      </c>
      <c r="I51" s="2" t="str">
        <v>讯飞</v>
      </c>
      <c r="J51" s="2" t="str">
        <v>未开始</v>
      </c>
    </row>
    <row customHeight="true" ht="19" r="52">
      <c r="A52" s="4" t="str">
        <v>讯飞服务改造</v>
      </c>
      <c r="B52" s="4" t="str">
        <v>中间件同步工具研发</v>
      </c>
      <c r="C52" s="5" t="str">
        <v>天翼云无法上云中间件改造</v>
      </c>
      <c r="D52" s="5" t="str">
        <v>3、中间件双中心测试</v>
      </c>
      <c r="E52" s="6">
        <f>F51</f>
      </c>
      <c r="F52" s="6">
        <f>WORKDAY.INTL(E52,G52)</f>
      </c>
      <c r="G52" s="2">
        <v>25</v>
      </c>
      <c r="H52" s="2" t="str">
        <v>待协调2</v>
      </c>
      <c r="I52" s="2" t="str">
        <v>讯飞</v>
      </c>
      <c r="J52" s="2" t="str">
        <v>未开始</v>
      </c>
    </row>
    <row customHeight="true" ht="19" r="53">
      <c r="A53" s="4" t="str">
        <v>讯飞服务改造</v>
      </c>
      <c r="B53" s="4" t="str">
        <v>中间件同步工具研发</v>
      </c>
      <c r="C53" s="5" t="str">
        <v>天翼云无法上云中间件改造</v>
      </c>
      <c r="D53" s="5" t="str">
        <v>4、中间件双中心性能</v>
      </c>
      <c r="E53" s="6">
        <f>F52</f>
      </c>
      <c r="F53" s="6">
        <f>WORKDAY.INTL(E53,G53)</f>
      </c>
      <c r="G53" s="2">
        <v>10</v>
      </c>
      <c r="H53" s="2" t="str">
        <v>待协调2</v>
      </c>
      <c r="I53" s="2" t="str">
        <v>讯飞</v>
      </c>
      <c r="J53" s="2" t="str">
        <v>未开始</v>
      </c>
    </row>
    <row customHeight="true" ht="36" r="54">
      <c r="A54" s="4" t="str">
        <v>讯飞服务迁移</v>
      </c>
      <c r="B54" s="4" t="str">
        <v>服务迁移</v>
      </c>
      <c r="C54" s="5" t="str">
        <v>迁移中间件</v>
      </c>
      <c r="D54" s="5"/>
      <c r="E54" s="6">
        <f>F21</f>
      </c>
      <c r="F54" s="6">
        <f>WORKDAY.INTL(E54,G54)</f>
      </c>
      <c r="G54" s="2">
        <v>10</v>
      </c>
      <c r="H54" s="2" t="str">
        <v>朱靖</v>
      </c>
      <c r="I54" s="2" t="str">
        <v>讯飞</v>
      </c>
      <c r="J54" s="2" t="str">
        <v>未开始</v>
      </c>
    </row>
    <row customHeight="true" ht="36" r="55">
      <c r="A55" s="4" t="str">
        <v>讯飞服务迁移</v>
      </c>
      <c r="B55" s="4" t="str">
        <v>服务迁移</v>
      </c>
      <c r="C55" s="5" t="str">
        <v>迁移应用服务</v>
      </c>
      <c r="D55" s="5"/>
      <c r="E55" s="6">
        <f>F54</f>
      </c>
      <c r="F55" s="6">
        <f>WORKDAY.INTL(E55,G55)</f>
      </c>
      <c r="G55" s="2">
        <v>10</v>
      </c>
      <c r="H55" s="2" t="str">
        <v>朱靖</v>
      </c>
      <c r="I55" s="2" t="str">
        <v>讯飞</v>
      </c>
      <c r="J55" s="2" t="str">
        <v>未开始</v>
      </c>
    </row>
    <row customHeight="true" ht="36" r="56">
      <c r="A56" s="4" t="str">
        <v>讯飞服务部署</v>
      </c>
      <c r="B56" s="4" t="str">
        <v>双中心部署</v>
      </c>
      <c r="C56" s="5" t="str">
        <v>调整应用服务部署</v>
      </c>
      <c r="D56" s="5"/>
      <c r="E56" s="6">
        <f>F55</f>
      </c>
      <c r="F56" s="7">
        <f>WORKDAY.INTL(E56,G56)</f>
      </c>
      <c r="G56" s="2">
        <v>10</v>
      </c>
      <c r="H56" s="2" t="str">
        <v>朱靖</v>
      </c>
      <c r="I56" s="2" t="str">
        <v>讯飞</v>
      </c>
      <c r="J56" s="2" t="str">
        <v>未开始</v>
      </c>
    </row>
    <row customHeight="true" ht="36" r="57">
      <c r="A57" s="4" t="str">
        <v>讯飞服务部署</v>
      </c>
      <c r="B57" s="4" t="str">
        <v>双中心部署</v>
      </c>
      <c r="C57" s="5" t="str">
        <v>调整中间件部署</v>
      </c>
      <c r="D57" s="5"/>
      <c r="E57" s="6">
        <f>F56</f>
      </c>
      <c r="F57" s="7">
        <f>WORKDAY.INTL(E57,G57)</f>
      </c>
      <c r="G57" s="2">
        <v>10</v>
      </c>
      <c r="H57" s="2" t="str">
        <v>朱靖</v>
      </c>
      <c r="I57" s="2" t="str">
        <v>讯飞</v>
      </c>
      <c r="J57" s="2" t="str">
        <v>未开始</v>
      </c>
    </row>
    <row customHeight="true" ht="36" r="58">
      <c r="A58" s="4" t="str">
        <v>讯飞服务验证</v>
      </c>
      <c r="B58" s="4" t="str">
        <v>双中心</v>
      </c>
      <c r="C58" s="5" t="str">
        <v>验证双中心功能</v>
      </c>
      <c r="D58" s="5"/>
      <c r="E58" s="6">
        <f>F57</f>
      </c>
      <c r="F58" s="7">
        <f>WORKDAY.INTL(E58,G58)</f>
      </c>
      <c r="G58" s="2">
        <v>10</v>
      </c>
      <c r="H58" s="2" t="str">
        <v>朱靖</v>
      </c>
      <c r="I58" s="2" t="str">
        <v>讯飞</v>
      </c>
      <c r="J58" s="2" t="str">
        <v>未开始</v>
      </c>
    </row>
    <row r="59">
      <c r="A59" s="4" t="str">
        <v>试运行</v>
      </c>
      <c r="B59" s="4" t="str">
        <v>双中心双活试运行</v>
      </c>
      <c r="C59" s="5" t="str">
        <v>双中心切换试运行</v>
      </c>
      <c r="D59" s="5"/>
      <c r="E59" s="6">
        <f>F58</f>
      </c>
      <c r="F59" s="6">
        <f>WORKDAY.INTL(E59,G59)</f>
      </c>
      <c r="G59" s="2">
        <v>10</v>
      </c>
      <c r="H59" s="2" t="str">
        <v>朱靖</v>
      </c>
      <c r="I59" s="2" t="str">
        <v>讯飞</v>
      </c>
      <c r="J59" s="2" t="str">
        <v>未开始</v>
      </c>
    </row>
    <row customHeight="true" ht="19" r="60">
      <c r="A60" s="4" t="str">
        <v>试运行</v>
      </c>
      <c r="B60" s="4" t="str">
        <v>双中心双活正式运行</v>
      </c>
      <c r="C60" s="5" t="str">
        <v>正式运行后运维</v>
      </c>
      <c r="D60" s="5"/>
      <c r="E60" s="6">
        <f>F59</f>
      </c>
      <c r="F60" s="6">
        <f>WORKDAY.INTL(E60,G60)</f>
      </c>
      <c r="G60" s="2">
        <v>20</v>
      </c>
      <c r="H60" s="2" t="str">
        <v>朱靖</v>
      </c>
      <c r="I60" s="2" t="str">
        <v>讯飞</v>
      </c>
      <c r="J60" s="2" t="str">
        <v>未开始</v>
      </c>
    </row>
    <row customHeight="true" ht="19" r="61">
      <c r="A61" s="4" t="str">
        <v>回退</v>
      </c>
      <c r="B61" s="4" t="str">
        <v>回退</v>
      </c>
      <c r="C61" s="5" t="str">
        <v>双中心运行失败，整体回退</v>
      </c>
      <c r="D61" s="5"/>
      <c r="E61" s="6">
        <f>F60</f>
      </c>
      <c r="F61" s="6">
        <f>WORKDAY.INTL(E61,G61)</f>
      </c>
      <c r="G61" s="2">
        <v>20</v>
      </c>
      <c r="H61" s="2" t="str">
        <v>朱靖</v>
      </c>
      <c r="I61" s="2" t="str">
        <v>讯飞</v>
      </c>
      <c r="J61" s="2" t="str">
        <v>未开始</v>
      </c>
    </row>
    <row r="62">
      <c r="A62" s="4"/>
      <c r="B62" s="4"/>
      <c r="C62" s="5"/>
      <c r="D62" s="5"/>
      <c r="E62" s="6"/>
      <c r="F62" s="6"/>
      <c r="G62" s="2">
        <f>SUM(G7:G61)</f>
      </c>
      <c r="H62" s="2"/>
      <c r="I62" s="2"/>
      <c r="J62" s="2"/>
    </row>
  </sheetData>
  <dataValidations count="1">
    <dataValidation allowBlank="true" errorStyle="stop" showErrorMessage="true" sqref="J2:J62" type="list">
      <formula1>"已完成,未开始,未通过,进行中"</formula1>
    </dataValidation>
  </dataValidation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17"/>
    <col collapsed="false" customWidth="true" hidden="false" max="3" min="3" style="0" width="37"/>
    <col collapsed="false" customWidth="true" hidden="false" max="4" min="4" style="0" width="42"/>
    <col collapsed="false" customWidth="true" hidden="false" max="5" min="5" style="0" width="10"/>
    <col collapsed="false" customWidth="true" hidden="false" max="6" min="6" style="0" width="32"/>
    <col collapsed="false" customWidth="true" hidden="false" max="7" min="7" style="0" width="12"/>
    <col collapsed="false" customWidth="true" hidden="false" max="8" min="8" style="0" width="10"/>
    <col collapsed="false" customWidth="true" hidden="false" max="9" min="9" style="0" width="9"/>
    <col collapsed="false" customWidth="true" hidden="false" max="10" min="10" style="0" width="10"/>
    <col collapsed="false" customWidth="true" hidden="false" max="11" min="11" style="0" width="17"/>
  </cols>
  <sheetData>
    <row r="1">
      <c r="A1" s="13" t="str">
        <v>大类</v>
      </c>
      <c r="B1" s="13" t="str">
        <v>小类</v>
      </c>
      <c r="C1" s="13" t="str">
        <v>功能调整点</v>
      </c>
      <c r="D1" s="13" t="str">
        <v>详细内容</v>
      </c>
      <c r="E1" s="14" t="str">
        <v>开始时间</v>
      </c>
      <c r="F1" s="14" t="str">
        <v>完成时间</v>
      </c>
      <c r="G1" s="13" t="str">
        <v>工作量预估</v>
      </c>
      <c r="H1" s="13" t="str">
        <v>负责人</v>
      </c>
      <c r="I1" s="13" t="str">
        <v>负责方</v>
      </c>
      <c r="J1" s="13" t="str">
        <v>状态</v>
      </c>
    </row>
    <row r="2">
      <c r="A2" s="4" t="str">
        <v>天翼云迁移</v>
      </c>
      <c r="B2" s="4" t="str">
        <v>资源评估</v>
      </c>
      <c r="C2" s="5" t="str">
        <v>新增线路接入北京机房梳理北京 5 现有资源，根据业务情况进行资源分 组，明确哪些资源迁移至华北 AZ1，哪些迁移至 华北 AZ</v>
      </c>
      <c r="D2" s="5"/>
      <c r="E2" s="2"/>
      <c r="F2" s="2" t="str">
        <v>T</v>
      </c>
      <c r="G2" s="2">
        <v>5</v>
      </c>
      <c r="H2" s="2"/>
      <c r="I2" s="2" t="str">
        <v>天翼云</v>
      </c>
      <c r="J2" s="2" t="str">
        <v>进行中</v>
      </c>
    </row>
    <row customHeight="true" ht="34" r="3">
      <c r="A3" s="4" t="str">
        <v>天翼云迁移</v>
      </c>
      <c r="B3" s="4" t="str">
        <v>环境搭建</v>
      </c>
      <c r="C3" s="5" t="str">
        <v>开通北京 5 至华北的临时专线，在华北开通迁移所 需的全部资源</v>
      </c>
      <c r="D3" s="5"/>
      <c r="E3" s="2"/>
      <c r="F3" s="2"/>
      <c r="G3" s="2">
        <v>5</v>
      </c>
      <c r="H3" s="2"/>
      <c r="I3" s="2" t="str">
        <v>天翼云</v>
      </c>
      <c r="J3" s="2"/>
    </row>
    <row customHeight="true" ht="34" r="4">
      <c r="A4" s="4" t="str">
        <v>天翼云迁移</v>
      </c>
      <c r="B4" s="4" t="str">
        <v>数据迁移</v>
      </c>
      <c r="C4" s="5" t="str">
        <v>通过迁移工具对云主机、弹性文件、对象存储、 RDS 数据库进行数据迁</v>
      </c>
      <c r="D4" s="5"/>
      <c r="E4" s="2"/>
      <c r="F4" s="2"/>
      <c r="G4" s="2">
        <v>20</v>
      </c>
      <c r="H4" s="2"/>
      <c r="I4" s="2" t="str">
        <v>天翼云</v>
      </c>
      <c r="J4" s="2"/>
    </row>
    <row customHeight="true" ht="34" r="5">
      <c r="A5" s="4" t="str">
        <v>天翼云迁移</v>
      </c>
      <c r="B5" s="4" t="str">
        <v>割接准备</v>
      </c>
      <c r="C5" s="5" t="str">
        <v>制定割接计划、完成备线割接、明确各环节操作及 保障人员</v>
      </c>
      <c r="D5" s="5"/>
      <c r="E5" s="2"/>
      <c r="F5" s="2"/>
      <c r="G5" s="2">
        <v>3</v>
      </c>
      <c r="H5" s="2"/>
      <c r="I5" s="2" t="str">
        <v>天翼云</v>
      </c>
      <c r="J5" s="2"/>
    </row>
    <row customHeight="true" ht="34" r="6">
      <c r="A6" s="4" t="str">
        <v>天翼云迁移</v>
      </c>
      <c r="B6" s="4" t="str">
        <v>业务割接</v>
      </c>
      <c r="C6" s="5" t="str">
        <v>按割接方案进行业务割接并验证，迁移完成</v>
      </c>
      <c r="D6" s="5"/>
      <c r="E6" s="2"/>
      <c r="F6" s="2"/>
      <c r="G6" s="2">
        <v>1</v>
      </c>
      <c r="H6" s="2"/>
      <c r="I6" s="2" t="str">
        <v>天翼云</v>
      </c>
      <c r="J6" s="2"/>
    </row>
    <row customHeight="true" ht="34" r="7">
      <c r="A7" s="4" t="str">
        <v>讯飞方案设计</v>
      </c>
      <c r="B7" s="4" t="str">
        <v>方案整理</v>
      </c>
      <c r="C7" s="5" t="str">
        <v>整体双中心双活计划</v>
      </c>
      <c r="D7" s="5" t="str">
        <v>1、完成整体建设计划编写、相关资源协调</v>
      </c>
      <c r="E7" s="16">
        <v>45514</v>
      </c>
      <c r="F7" s="7">
        <f>WORKDAY.INTL(E7,G7)</f>
      </c>
      <c r="G7" s="2">
        <v>5</v>
      </c>
      <c r="H7" s="2" t="str">
        <v>陈亚男</v>
      </c>
      <c r="I7" s="2" t="str">
        <v>讯飞</v>
      </c>
      <c r="J7" s="2" t="str">
        <v>未开始</v>
      </c>
      <c r="K7" s="1"/>
    </row>
    <row customHeight="true" ht="34" r="8">
      <c r="A8" s="4" t="str">
        <v>讯飞方案设计</v>
      </c>
      <c r="B8" s="4" t="str">
        <v>方案整理</v>
      </c>
      <c r="C8" s="5" t="str">
        <v>整体双中心双活计划</v>
      </c>
      <c r="D8" s="5" t="str">
        <v>2、完成建设计划内部评审、优化调整</v>
      </c>
      <c r="E8" s="6">
        <f>F7</f>
      </c>
      <c r="F8" s="7">
        <f>WORKDAY.INTL(E8,G8)</f>
      </c>
      <c r="G8" s="2">
        <v>5</v>
      </c>
      <c r="H8" s="2" t="str">
        <v>陈亚男</v>
      </c>
      <c r="I8" s="2" t="str">
        <v>讯飞</v>
      </c>
      <c r="J8" s="2" t="str">
        <v>未开始</v>
      </c>
    </row>
    <row r="9">
      <c r="A9" s="4" t="str">
        <v>讯飞方案设计</v>
      </c>
      <c r="B9" s="4" t="str">
        <v>方案评估</v>
      </c>
      <c r="C9" s="5" t="str">
        <v>详细方案</v>
      </c>
      <c r="D9" s="5" t="str">
        <v>1、完成详细方案设计
</v>
      </c>
      <c r="E9" s="6">
        <f>F8</f>
      </c>
      <c r="F9" s="6">
        <f>WORKDAY.INTL(E9,G9)</f>
      </c>
      <c r="G9" s="2">
        <v>10</v>
      </c>
      <c r="H9" s="2" t="str">
        <v>陈亚男</v>
      </c>
      <c r="I9" s="2" t="str">
        <v>讯飞</v>
      </c>
      <c r="J9" s="2" t="str">
        <v>未开始</v>
      </c>
    </row>
    <row customHeight="true" ht="45" r="10">
      <c r="A10" s="4" t="str">
        <v>讯飞方案设计</v>
      </c>
      <c r="B10" s="4" t="str">
        <v>方案评估</v>
      </c>
      <c r="C10" s="5" t="str">
        <v>详细方案</v>
      </c>
      <c r="D10" s="5" t="str">
        <v>2、完成详细方案应用可行性验证</v>
      </c>
      <c r="E10" s="6">
        <f>F9</f>
      </c>
      <c r="F10" s="6">
        <f>WORKDAY.INTL(E10,G10)</f>
      </c>
      <c r="G10" s="2">
        <v>10</v>
      </c>
      <c r="H10" s="2" t="str">
        <v>陈亚男</v>
      </c>
      <c r="I10" s="2" t="str">
        <v>讯飞</v>
      </c>
      <c r="J10" s="2" t="str">
        <v>未开始</v>
      </c>
    </row>
    <row customHeight="true" ht="45" r="11">
      <c r="A11" s="4" t="str">
        <v>讯飞方案设计</v>
      </c>
      <c r="B11" s="4" t="str">
        <v>方案评估</v>
      </c>
      <c r="C11" s="5" t="str">
        <v>详细方案</v>
      </c>
      <c r="D11" s="5" t="str">
        <v>3、完成详细方案中间件可行性验证</v>
      </c>
      <c r="E11" s="6">
        <f>F10</f>
      </c>
      <c r="F11" s="6">
        <f>WORKDAY.INTL(E11,G11)</f>
      </c>
      <c r="G11" s="2">
        <v>5</v>
      </c>
      <c r="H11" s="2" t="str">
        <v>陈亚男</v>
      </c>
      <c r="I11" s="2" t="str">
        <v>讯飞</v>
      </c>
      <c r="J11" s="2" t="str">
        <v>未开始</v>
      </c>
    </row>
    <row customHeight="true" ht="45" r="12">
      <c r="A12" s="4" t="str">
        <v>讯飞方案设计</v>
      </c>
      <c r="B12" s="4" t="str">
        <v>方案评估</v>
      </c>
      <c r="C12" s="5" t="str">
        <v>详细方案</v>
      </c>
      <c r="D12" s="5" t="str">
        <v>4、完成详细方案评审</v>
      </c>
      <c r="E12" s="6">
        <f>F11</f>
      </c>
      <c r="F12" s="6">
        <f>WORKDAY.INTL(E12,G12)</f>
      </c>
      <c r="G12" s="2">
        <v>5</v>
      </c>
      <c r="H12" s="2" t="str">
        <v>陈亚男</v>
      </c>
      <c r="I12" s="2" t="str">
        <v>讯飞</v>
      </c>
      <c r="J12" s="2" t="str">
        <v>未开始</v>
      </c>
    </row>
    <row customHeight="true" ht="45" r="13">
      <c r="A13" s="4" t="str">
        <v>讯飞方案设计</v>
      </c>
      <c r="B13" s="4" t="str">
        <v>方案评估</v>
      </c>
      <c r="C13" s="5" t="str">
        <v>详细方案</v>
      </c>
      <c r="D13" s="5" t="str">
        <v>4、完成详细方案修改</v>
      </c>
      <c r="E13" s="6">
        <f>F12</f>
      </c>
      <c r="F13" s="6">
        <f>WORKDAY.INTL(E13,G13)</f>
      </c>
      <c r="G13" s="2">
        <v>10</v>
      </c>
      <c r="H13" s="2" t="str">
        <v>陈亚男</v>
      </c>
      <c r="I13" s="2" t="str">
        <v>讯飞</v>
      </c>
      <c r="J13" s="2"/>
    </row>
    <row customHeight="true" ht="45" r="14">
      <c r="A14" s="4" t="str">
        <v>讯飞方案设计</v>
      </c>
      <c r="B14" s="4" t="str">
        <v>方案执行</v>
      </c>
      <c r="C14" s="5" t="str">
        <v>详细方案方案执行跟踪</v>
      </c>
      <c r="D14" s="5" t="str">
        <v>5、完成融通侧双中心服务器资源协调与建设计划同步
6、跟踪整体建设方案、进度</v>
      </c>
      <c r="E14" s="6">
        <f>F13</f>
      </c>
      <c r="F14" s="6">
        <f>WORKDAY.INTL(E14,G14)</f>
      </c>
      <c r="G14" s="2">
        <v>30</v>
      </c>
      <c r="H14" s="2" t="str">
        <v>陈亚男</v>
      </c>
      <c r="I14" s="2" t="str">
        <v>讯飞</v>
      </c>
      <c r="J14" s="2" t="str">
        <v>未开始</v>
      </c>
    </row>
    <row customHeight="true" ht="19" r="15">
      <c r="A15" s="4" t="str">
        <v>讯飞方案设计</v>
      </c>
      <c r="B15" s="4" t="str">
        <v>资源评估</v>
      </c>
      <c r="C15" s="5" t="str">
        <v>根据天翼云规划的机器进行应用服务规划</v>
      </c>
      <c r="D15" s="5" t="str">
        <v>1、将单中心、双集群梳理为双中心双集群</v>
      </c>
      <c r="E15" s="6">
        <f>F8</f>
      </c>
      <c r="F15" s="6">
        <f>WORKDAY.INTL(E15,G15)</f>
      </c>
      <c r="G15" s="2">
        <v>5</v>
      </c>
      <c r="H15" s="2" t="str">
        <v>待协调运维1</v>
      </c>
      <c r="I15" s="2" t="str">
        <v>讯飞</v>
      </c>
      <c r="J15" s="2" t="str">
        <v>未开始</v>
      </c>
    </row>
    <row customHeight="true" ht="36" r="16">
      <c r="A16" s="4" t="str">
        <v>讯飞服务迁移</v>
      </c>
      <c r="B16" s="4" t="str">
        <v>网络关系梳理</v>
      </c>
      <c r="C16" s="5" t="str">
        <v>根据天翼云迁移后机器网络，进行网络关系梳理</v>
      </c>
      <c r="D16" s="5" t="str">
        <v>1、梳理双中心网络关系</v>
      </c>
      <c r="E16" s="6">
        <f>F15</f>
      </c>
      <c r="F16" s="7">
        <f>WORKDAY.INTL(E16,G16)</f>
      </c>
      <c r="G16" s="2">
        <v>5</v>
      </c>
      <c r="H16" s="2" t="str">
        <v>待协调运维1</v>
      </c>
      <c r="I16" s="2" t="str">
        <v>讯飞</v>
      </c>
      <c r="J16" s="2" t="str">
        <v>未开始</v>
      </c>
    </row>
    <row customHeight="true" ht="34" r="17">
      <c r="A17" s="4" t="str">
        <v>讯飞方案设计</v>
      </c>
      <c r="B17" s="4" t="str">
        <v>计划输出</v>
      </c>
      <c r="C17" s="5" t="str">
        <v>产品改造详细计划输出</v>
      </c>
      <c r="D17" s="5" t="str">
        <v>1、涉及产品改造方案输出</v>
      </c>
      <c r="E17" s="6">
        <f>E9</f>
      </c>
      <c r="F17" s="6">
        <f>WORKDAY.INTL(E17,G17)</f>
      </c>
      <c r="G17" s="2">
        <v>10</v>
      </c>
      <c r="H17" s="2" t="str">
        <v>待协调1</v>
      </c>
      <c r="I17" s="2" t="str">
        <v>讯飞</v>
      </c>
      <c r="J17" s="2" t="str">
        <v>未开始</v>
      </c>
    </row>
    <row customHeight="true" ht="34" r="18">
      <c r="A18" s="4" t="str">
        <v>讯飞方案设计</v>
      </c>
      <c r="B18" s="4" t="str">
        <v>计划输出</v>
      </c>
      <c r="C18" s="5" t="str">
        <v>产品改造详细计划输出</v>
      </c>
      <c r="D18" s="5" t="str">
        <v>2、涉及产品改造方案方案评审</v>
      </c>
      <c r="E18" s="6">
        <f>F17</f>
      </c>
      <c r="F18" s="6">
        <f>WORKDAY.INTL(E18,G18)</f>
      </c>
      <c r="G18" s="2">
        <v>10</v>
      </c>
      <c r="H18" s="2" t="str">
        <v>待协调1</v>
      </c>
      <c r="I18" s="2" t="str">
        <v>讯飞</v>
      </c>
      <c r="J18" s="2" t="str">
        <v>未开始</v>
      </c>
    </row>
    <row customHeight="true" ht="34" r="19">
      <c r="A19" s="4" t="str">
        <v>讯飞方案设计</v>
      </c>
      <c r="B19" s="4" t="str">
        <v>方案验证</v>
      </c>
      <c r="C19" s="5" t="str">
        <v>产品方案验证</v>
      </c>
      <c r="D19" s="5" t="str">
        <v>3、方案验证</v>
      </c>
      <c r="E19" s="6">
        <f>F18</f>
      </c>
      <c r="F19" s="7">
        <f>WORKDAY.INTL(E19,G19)</f>
      </c>
      <c r="G19" s="2">
        <v>10</v>
      </c>
      <c r="H19" s="2" t="str">
        <v>待协调1</v>
      </c>
      <c r="I19" s="2" t="str">
        <v>讯飞</v>
      </c>
      <c r="J19" s="2" t="str">
        <v>未开始</v>
      </c>
    </row>
    <row customHeight="true" ht="34" r="20">
      <c r="A20" s="4" t="str">
        <v>讯飞方案设计</v>
      </c>
      <c r="B20" s="4" t="str">
        <v>方案验证</v>
      </c>
      <c r="C20" s="5" t="str">
        <v>产品方案调整</v>
      </c>
      <c r="D20" s="5" t="str">
        <v>4、方案调整</v>
      </c>
      <c r="E20" s="6">
        <f>F19</f>
      </c>
      <c r="F20" s="7">
        <f>WORKDAY.INTL(E20,G20)</f>
      </c>
      <c r="G20" s="2">
        <v>10</v>
      </c>
      <c r="H20" s="2" t="str">
        <v>待协调1</v>
      </c>
      <c r="I20" s="2" t="str">
        <v>讯飞</v>
      </c>
      <c r="J20" s="2" t="str">
        <v>未开始</v>
      </c>
    </row>
    <row customHeight="true" ht="34" r="21">
      <c r="A21" s="4" t="str">
        <v>讯飞方案设计</v>
      </c>
      <c r="B21" s="4" t="str">
        <v>计划输出</v>
      </c>
      <c r="C21" s="5" t="str">
        <v>中间件详细计划输出</v>
      </c>
      <c r="D21" s="5" t="str">
        <v>1、涉及中间件改造方案输出
</v>
      </c>
      <c r="E21" s="6">
        <f>E9</f>
      </c>
      <c r="F21" s="6">
        <f>WORKDAY.INTL(E21,G21)</f>
      </c>
      <c r="G21" s="2">
        <v>10</v>
      </c>
      <c r="H21" s="2" t="str">
        <v>待协调2</v>
      </c>
      <c r="I21" s="2" t="str">
        <v>讯飞</v>
      </c>
      <c r="J21" s="2" t="str">
        <v>未开始</v>
      </c>
    </row>
    <row customHeight="true" ht="34" r="22">
      <c r="A22" s="4" t="str">
        <v>讯飞方案设计</v>
      </c>
      <c r="B22" s="4" t="str">
        <v>计划输出</v>
      </c>
      <c r="C22" s="5" t="str">
        <v>中间件详细计划输出</v>
      </c>
      <c r="D22" s="5" t="str">
        <v>2、方案评审</v>
      </c>
      <c r="E22" s="6">
        <f>F21</f>
      </c>
      <c r="F22" s="6">
        <f>WORKDAY.INTL(E22,G22)</f>
      </c>
      <c r="G22" s="2">
        <v>10</v>
      </c>
      <c r="H22" s="2" t="str">
        <v>待协调2</v>
      </c>
      <c r="I22" s="2" t="str">
        <v>讯飞</v>
      </c>
      <c r="J22" s="2" t="str">
        <v>未开始</v>
      </c>
    </row>
    <row customHeight="true" ht="34" r="23">
      <c r="A23" s="4" t="str">
        <v>讯飞方案设计</v>
      </c>
      <c r="B23" s="4" t="str">
        <v>方案验证</v>
      </c>
      <c r="C23" s="5" t="str">
        <v>中间件方案验证</v>
      </c>
      <c r="D23" s="5" t="str">
        <v>3、方案验证</v>
      </c>
      <c r="E23" s="6">
        <f>F22</f>
      </c>
      <c r="F23" s="7">
        <f>WORKDAY.INTL(E23,G23)</f>
      </c>
      <c r="G23" s="2">
        <v>10</v>
      </c>
      <c r="H23" s="2" t="str">
        <v>待协调2</v>
      </c>
      <c r="I23" s="2" t="str">
        <v>讯飞</v>
      </c>
      <c r="J23" s="2" t="str">
        <v>未开始</v>
      </c>
    </row>
    <row customHeight="true" ht="34" r="24">
      <c r="A24" s="4" t="str">
        <v>讯飞方案设计</v>
      </c>
      <c r="B24" s="4" t="str">
        <v>方案验证</v>
      </c>
      <c r="C24" s="5" t="str">
        <v>中间件方案调整</v>
      </c>
      <c r="D24" s="5" t="str">
        <v>4、方案调整</v>
      </c>
      <c r="E24" s="6">
        <f>F23</f>
      </c>
      <c r="F24" s="7">
        <f>WORKDAY.INTL(E24,G24)</f>
      </c>
      <c r="G24" s="2">
        <v>10</v>
      </c>
      <c r="H24" s="2" t="str">
        <v>待协调2</v>
      </c>
      <c r="I24" s="2" t="str">
        <v>讯飞</v>
      </c>
      <c r="J24" s="2" t="str">
        <v>未开始</v>
      </c>
    </row>
    <row customHeight="true" ht="19" r="25">
      <c r="A25" s="4" t="str">
        <v>讯飞服务改造</v>
      </c>
      <c r="B25" s="4" t="str">
        <v>语音系统改造</v>
      </c>
      <c r="C25" s="5" t="str">
        <v>AICC座席工作台</v>
      </c>
      <c r="D25" s="5" t="str">
        <v>1、应用改造</v>
      </c>
      <c r="E25" s="6">
        <f>F21</f>
      </c>
      <c r="F25" s="6">
        <f>WORKDAY.INTL(E25,G25)</f>
      </c>
      <c r="G25" s="2">
        <v>10</v>
      </c>
      <c r="H25" s="2" t="str">
        <v>待协调1</v>
      </c>
      <c r="I25" s="2" t="str">
        <v>讯飞</v>
      </c>
      <c r="J25" s="2" t="str">
        <v>未开始</v>
      </c>
    </row>
    <row customHeight="true" ht="19" r="26">
      <c r="A26" s="4" t="str">
        <v>讯飞服务改造</v>
      </c>
      <c r="B26" s="4" t="str">
        <v>语音系统改造</v>
      </c>
      <c r="C26" s="5" t="str">
        <v>AICC座席工作台</v>
      </c>
      <c r="D26" s="5" t="str">
        <v>2、应用功能测试</v>
      </c>
      <c r="E26" s="6">
        <f>F25</f>
      </c>
      <c r="F26" s="6">
        <f>WORKDAY.INTL(E26,G26)</f>
      </c>
      <c r="G26" s="2">
        <v>10</v>
      </c>
      <c r="H26" s="2" t="str">
        <v>待协调1</v>
      </c>
      <c r="I26" s="2" t="str">
        <v>讯飞</v>
      </c>
      <c r="J26" s="2" t="str">
        <v>未开始</v>
      </c>
    </row>
    <row customHeight="true" ht="19" r="27">
      <c r="A27" s="4" t="str">
        <v>讯飞服务改造</v>
      </c>
      <c r="B27" s="4" t="str">
        <v>语音系统改造</v>
      </c>
      <c r="C27" s="5" t="str">
        <v>AICC座席工作台</v>
      </c>
      <c r="D27" s="5" t="str">
        <v>3、应用性能测试</v>
      </c>
      <c r="E27" s="6">
        <f>F26</f>
      </c>
      <c r="F27" s="6">
        <f>WORKDAY.INTL(E27,G27)</f>
      </c>
      <c r="G27" s="2">
        <v>10</v>
      </c>
      <c r="H27" s="2" t="str">
        <v>待协调1</v>
      </c>
      <c r="I27" s="2" t="str">
        <v>讯飞</v>
      </c>
      <c r="J27" s="2" t="str">
        <v>未开始</v>
      </c>
    </row>
    <row customHeight="true" ht="19" r="28">
      <c r="A28" s="4" t="str">
        <v>讯飞服务改造</v>
      </c>
      <c r="B28" s="4" t="str">
        <v>语音系统改造</v>
      </c>
      <c r="C28" s="5" t="str">
        <v>软交换平台</v>
      </c>
      <c r="D28" s="5" t="str">
        <v>1、应用改造</v>
      </c>
      <c r="E28" s="6">
        <f>F21</f>
      </c>
      <c r="F28" s="6">
        <f>WORKDAY.INTL(E28,G28)</f>
      </c>
      <c r="G28" s="2">
        <v>10</v>
      </c>
      <c r="H28" s="2" t="str">
        <v>待协调2</v>
      </c>
      <c r="I28" s="2" t="str">
        <v>讯飞</v>
      </c>
      <c r="J28" s="2" t="str">
        <v>未开始</v>
      </c>
    </row>
    <row customHeight="true" ht="19" r="29">
      <c r="A29" s="4" t="str">
        <v>讯飞服务改造</v>
      </c>
      <c r="B29" s="4" t="str">
        <v>语音系统改造</v>
      </c>
      <c r="C29" s="5" t="str">
        <v>软交换平台</v>
      </c>
      <c r="D29" s="5" t="str">
        <v>2、应用功能测试</v>
      </c>
      <c r="E29" s="6">
        <f>F28</f>
      </c>
      <c r="F29" s="6">
        <f>WORKDAY.INTL(E29,G29)</f>
      </c>
      <c r="G29" s="2">
        <v>10</v>
      </c>
      <c r="H29" s="2" t="str">
        <v>待协调2</v>
      </c>
      <c r="I29" s="2" t="str">
        <v>讯飞</v>
      </c>
      <c r="J29" s="2" t="str">
        <v>未开始</v>
      </c>
    </row>
    <row customHeight="true" ht="19" r="30">
      <c r="A30" s="4" t="str">
        <v>讯飞服务改造</v>
      </c>
      <c r="B30" s="4" t="str">
        <v>语音系统改造</v>
      </c>
      <c r="C30" s="5" t="str">
        <v>软交换平台</v>
      </c>
      <c r="D30" s="5" t="str">
        <v>3、应用性能测试</v>
      </c>
      <c r="E30" s="6">
        <f>F29</f>
      </c>
      <c r="F30" s="6">
        <f>WORKDAY.INTL(E30,G30)</f>
      </c>
      <c r="G30" s="2">
        <v>10</v>
      </c>
      <c r="H30" s="2" t="str">
        <v>待协调2</v>
      </c>
      <c r="I30" s="2" t="str">
        <v>讯飞</v>
      </c>
      <c r="J30" s="2" t="str">
        <v>未开始</v>
      </c>
    </row>
    <row customHeight="true" ht="19" r="31">
      <c r="A31" s="4" t="str">
        <v>讯飞服务改造</v>
      </c>
      <c r="B31" s="4" t="str">
        <v>在线系统改造</v>
      </c>
      <c r="C31" s="5" t="str">
        <v>IM文字客服</v>
      </c>
      <c r="D31" s="5" t="str">
        <v>1、应用改造</v>
      </c>
      <c r="E31" s="6">
        <f>F21</f>
      </c>
      <c r="F31" s="6">
        <f>WORKDAY.INTL(E31,G31)</f>
      </c>
      <c r="G31" s="2">
        <v>10</v>
      </c>
      <c r="H31" s="2" t="str">
        <v>待协调3</v>
      </c>
      <c r="I31" s="2" t="str">
        <v>讯飞</v>
      </c>
      <c r="J31" s="2" t="str">
        <v>未开始</v>
      </c>
      <c r="K31" s="1"/>
    </row>
    <row customHeight="true" ht="19" r="32">
      <c r="A32" s="4" t="str">
        <v>讯飞服务改造</v>
      </c>
      <c r="B32" s="4" t="str">
        <v>在线系统改造</v>
      </c>
      <c r="C32" s="5" t="str">
        <v>IM文字客服</v>
      </c>
      <c r="D32" s="5" t="str">
        <v>2、应用功能测试</v>
      </c>
      <c r="E32" s="6">
        <f>F31</f>
      </c>
      <c r="F32" s="6">
        <f>WORKDAY.INTL(E32,G32)</f>
      </c>
      <c r="G32" s="2">
        <v>10</v>
      </c>
      <c r="H32" s="2" t="str">
        <v>待协调3</v>
      </c>
      <c r="I32" s="2" t="str">
        <v>讯飞</v>
      </c>
      <c r="J32" s="2" t="str">
        <v>未开始</v>
      </c>
      <c r="K32" s="1"/>
    </row>
    <row customHeight="true" ht="19" r="33">
      <c r="A33" s="4" t="str">
        <v>讯飞服务改造</v>
      </c>
      <c r="B33" s="4" t="str">
        <v>在线系统改造</v>
      </c>
      <c r="C33" s="5" t="str">
        <v>IM文字客服</v>
      </c>
      <c r="D33" s="5" t="str">
        <v>3、应用性能测试</v>
      </c>
      <c r="E33" s="6">
        <f>F32</f>
      </c>
      <c r="F33" s="6">
        <f>WORKDAY.INTL(E33,G33)</f>
      </c>
      <c r="G33" s="2">
        <v>10</v>
      </c>
      <c r="H33" s="2" t="str">
        <v>待协调3</v>
      </c>
      <c r="I33" s="2" t="str">
        <v>讯飞</v>
      </c>
      <c r="J33" s="2" t="str">
        <v>未开始</v>
      </c>
      <c r="K33" s="1"/>
    </row>
    <row customHeight="true" hidden="true" ht="19" r="34">
      <c r="A34" s="8" t="str">
        <v>讯飞服务改造</v>
      </c>
      <c r="B34" s="8" t="str">
        <v>智能化服务改造</v>
      </c>
      <c r="C34" s="9" t="str">
        <v>融智知识库</v>
      </c>
      <c r="D34" s="9" t="str">
        <v>1、应用改造</v>
      </c>
      <c r="E34" s="10"/>
      <c r="F34" s="10"/>
      <c r="G34" s="11"/>
      <c r="H34" s="11" t="str">
        <v>待协调4</v>
      </c>
      <c r="I34" s="11" t="str">
        <v>讯飞</v>
      </c>
      <c r="J34" s="11" t="str">
        <v>未开始</v>
      </c>
      <c r="K34" s="12" t="str">
        <v>优先级降低</v>
      </c>
    </row>
    <row customHeight="true" hidden="true" ht="19" r="35">
      <c r="A35" s="8" t="str">
        <v>讯飞服务改造</v>
      </c>
      <c r="B35" s="8" t="str">
        <v>智能化服务改造</v>
      </c>
      <c r="C35" s="9" t="str">
        <v>融智知识库</v>
      </c>
      <c r="D35" s="9" t="str">
        <v>2、应用功能测试</v>
      </c>
      <c r="E35" s="10"/>
      <c r="F35" s="10"/>
      <c r="G35" s="11"/>
      <c r="H35" s="11" t="str">
        <v>待协调4</v>
      </c>
      <c r="I35" s="11" t="str">
        <v>讯飞</v>
      </c>
      <c r="J35" s="11" t="str">
        <v>未开始</v>
      </c>
      <c r="K35" s="12" t="str">
        <v>优先级降低</v>
      </c>
    </row>
    <row customHeight="true" hidden="true" ht="19" r="36">
      <c r="A36" s="8" t="str">
        <v>讯飞服务改造</v>
      </c>
      <c r="B36" s="8" t="str">
        <v>智能化服务改造</v>
      </c>
      <c r="C36" s="9" t="str">
        <v>融智知识库</v>
      </c>
      <c r="D36" s="9" t="str">
        <v>3、应用性能测试</v>
      </c>
      <c r="E36" s="10"/>
      <c r="F36" s="10"/>
      <c r="G36" s="11"/>
      <c r="H36" s="11" t="str">
        <v>待协调4</v>
      </c>
      <c r="I36" s="11" t="str">
        <v>讯飞</v>
      </c>
      <c r="J36" s="11" t="str">
        <v>未开始</v>
      </c>
      <c r="K36" s="12" t="str">
        <v>优先级降低</v>
      </c>
    </row>
    <row customHeight="true" hidden="true" ht="19" r="37">
      <c r="A37" s="8" t="str">
        <v>讯飞服务改造</v>
      </c>
      <c r="B37" s="8" t="str">
        <v>智能化服务改造</v>
      </c>
      <c r="C37" s="9" t="str">
        <v>AI+管理平台</v>
      </c>
      <c r="D37" s="9"/>
      <c r="E37" s="10"/>
      <c r="F37" s="10"/>
      <c r="G37" s="11"/>
      <c r="H37" s="11" t="str">
        <v>待协调5</v>
      </c>
      <c r="I37" s="11" t="str">
        <v>讯飞</v>
      </c>
      <c r="J37" s="11" t="str">
        <v>未开始</v>
      </c>
      <c r="K37" s="12" t="str">
        <v>优先级降低</v>
      </c>
    </row>
    <row customHeight="true" hidden="true" ht="19" r="38">
      <c r="A38" s="8" t="str">
        <v>讯飞服务改造</v>
      </c>
      <c r="B38" s="8" t="str">
        <v>智能化服务改造</v>
      </c>
      <c r="C38" s="9" t="str">
        <v>智能外呼</v>
      </c>
      <c r="D38" s="9"/>
      <c r="E38" s="10"/>
      <c r="F38" s="10"/>
      <c r="G38" s="11"/>
      <c r="H38" s="11" t="str">
        <v>待协调5</v>
      </c>
      <c r="I38" s="11" t="str">
        <v>讯飞</v>
      </c>
      <c r="J38" s="11" t="str">
        <v>未开始</v>
      </c>
      <c r="K38" s="12" t="str">
        <v>优先级降低</v>
      </c>
    </row>
    <row customHeight="true" hidden="true" ht="19" r="39">
      <c r="A39" s="8" t="str">
        <v>讯飞服务改造</v>
      </c>
      <c r="B39" s="8" t="str">
        <v>智能化服务改造</v>
      </c>
      <c r="C39" s="9" t="str">
        <v>智能质检</v>
      </c>
      <c r="D39" s="9"/>
      <c r="E39" s="10"/>
      <c r="F39" s="10"/>
      <c r="G39" s="11"/>
      <c r="H39" s="11" t="str">
        <v>待协调5</v>
      </c>
      <c r="I39" s="11" t="str">
        <v>讯飞</v>
      </c>
      <c r="J39" s="11" t="str">
        <v>未开始</v>
      </c>
      <c r="K39" s="12" t="str">
        <v>优先级降低</v>
      </c>
    </row>
    <row customHeight="true" hidden="true" ht="19" r="40">
      <c r="A40" s="8" t="str">
        <v>讯飞服务改造</v>
      </c>
      <c r="B40" s="8" t="str">
        <v>智能化服务改造</v>
      </c>
      <c r="C40" s="9" t="str">
        <v>智能助手</v>
      </c>
      <c r="D40" s="9"/>
      <c r="E40" s="10"/>
      <c r="F40" s="10"/>
      <c r="G40" s="11"/>
      <c r="H40" s="11" t="str">
        <v>待协调5</v>
      </c>
      <c r="I40" s="11" t="str">
        <v>讯飞</v>
      </c>
      <c r="J40" s="11" t="str">
        <v>未开始</v>
      </c>
      <c r="K40" s="12" t="str">
        <v>优先级降低</v>
      </c>
    </row>
    <row customHeight="true" hidden="true" ht="19" r="41">
      <c r="A41" s="8" t="str">
        <v>讯飞服务改造</v>
      </c>
      <c r="B41" s="8" t="str">
        <v>周边服务改造</v>
      </c>
      <c r="C41" s="9" t="str">
        <v>人工质检</v>
      </c>
      <c r="D41" s="9"/>
      <c r="E41" s="10"/>
      <c r="F41" s="10"/>
      <c r="G41" s="11"/>
      <c r="H41" s="11" t="str">
        <v>待协调5</v>
      </c>
      <c r="I41" s="11" t="str">
        <v>讯飞</v>
      </c>
      <c r="J41" s="11" t="str">
        <v>未开始</v>
      </c>
      <c r="K41" s="12" t="str">
        <v>优先级降低</v>
      </c>
    </row>
    <row customHeight="true" hidden="true" ht="19" r="42">
      <c r="A42" s="8" t="str">
        <v>讯飞服务改造</v>
      </c>
      <c r="B42" s="8" t="str">
        <v>周边服务改造</v>
      </c>
      <c r="C42" s="9" t="str">
        <v>监控平台</v>
      </c>
      <c r="D42" s="9"/>
      <c r="E42" s="10"/>
      <c r="F42" s="10"/>
      <c r="G42" s="11"/>
      <c r="H42" s="11" t="str">
        <v>待协调5</v>
      </c>
      <c r="I42" s="11" t="str">
        <v>讯飞</v>
      </c>
      <c r="J42" s="11" t="str">
        <v>未开始</v>
      </c>
      <c r="K42" s="12" t="str">
        <v>优先级降低</v>
      </c>
    </row>
    <row customHeight="true" hidden="true" ht="19" r="43">
      <c r="A43" s="8" t="str">
        <v>讯飞服务改造</v>
      </c>
      <c r="B43" s="8" t="str">
        <v>数据服务改造</v>
      </c>
      <c r="C43" s="9" t="str">
        <v>数据运营/能力平台</v>
      </c>
      <c r="D43" s="9"/>
      <c r="E43" s="10"/>
      <c r="F43" s="10"/>
      <c r="G43" s="11"/>
      <c r="H43" s="11" t="str">
        <v>待协调5</v>
      </c>
      <c r="I43" s="11" t="str">
        <v>讯飞</v>
      </c>
      <c r="J43" s="11" t="str">
        <v>未开始</v>
      </c>
      <c r="K43" s="12" t="str">
        <v>优先级降低</v>
      </c>
    </row>
    <row customHeight="true" ht="19" r="44">
      <c r="A44" s="4" t="str">
        <v>讯飞服务改造</v>
      </c>
      <c r="B44" s="4" t="str">
        <v>周边服务改造</v>
      </c>
      <c r="C44" s="5" t="str">
        <v>UAP</v>
      </c>
      <c r="D44" s="5" t="str">
        <v>1、应用改造</v>
      </c>
      <c r="E44" s="6">
        <f>F21</f>
      </c>
      <c r="F44" s="6">
        <f>WORKDAY.INTL(E44,G44)</f>
      </c>
      <c r="G44" s="2">
        <v>10</v>
      </c>
      <c r="H44" s="2" t="str">
        <v>待协调4</v>
      </c>
      <c r="I44" s="2" t="str">
        <v>讯飞</v>
      </c>
      <c r="J44" s="2" t="str">
        <v>未开始</v>
      </c>
    </row>
    <row customHeight="true" ht="19" r="45">
      <c r="A45" s="4" t="str">
        <v>讯飞服务改造</v>
      </c>
      <c r="B45" s="4" t="str">
        <v>周边服务改造</v>
      </c>
      <c r="C45" s="5" t="str">
        <v>UAP</v>
      </c>
      <c r="D45" s="5" t="str">
        <v>2、应用功能测试</v>
      </c>
      <c r="E45" s="6">
        <f>F44</f>
      </c>
      <c r="F45" s="6">
        <f>WORKDAY.INTL(E45,G45)</f>
      </c>
      <c r="G45" s="2">
        <v>10</v>
      </c>
      <c r="H45" s="2" t="str">
        <v>待协调4</v>
      </c>
      <c r="I45" s="2" t="str">
        <v>讯飞</v>
      </c>
      <c r="J45" s="2" t="str">
        <v>未开始</v>
      </c>
    </row>
    <row customHeight="true" ht="19" r="46">
      <c r="A46" s="4" t="str">
        <v>讯飞服务改造</v>
      </c>
      <c r="B46" s="4" t="str">
        <v>周边服务改造</v>
      </c>
      <c r="C46" s="5" t="str">
        <v>UAP</v>
      </c>
      <c r="D46" s="5" t="str">
        <v>3、应用性能测试</v>
      </c>
      <c r="E46" s="6">
        <f>F45</f>
      </c>
      <c r="F46" s="6">
        <f>WORKDAY.INTL(E46,G46)</f>
      </c>
      <c r="G46" s="2">
        <v>10</v>
      </c>
      <c r="H46" s="2" t="str">
        <v>待协调4</v>
      </c>
      <c r="I46" s="2" t="str">
        <v>讯飞</v>
      </c>
      <c r="J46" s="2" t="str">
        <v>未开始</v>
      </c>
    </row>
    <row customHeight="true" ht="19" r="47">
      <c r="A47" s="4" t="str">
        <v>讯飞服务改造</v>
      </c>
      <c r="B47" s="4" t="str">
        <v>存储系统改造</v>
      </c>
      <c r="C47" s="5" t="str">
        <v>Storage\S3协议对接等</v>
      </c>
      <c r="D47" s="5" t="str">
        <v>1、应用改造</v>
      </c>
      <c r="E47" s="6">
        <f>F21</f>
      </c>
      <c r="F47" s="6">
        <f>WORKDAY.INTL(E47,G47)</f>
      </c>
      <c r="G47" s="2">
        <v>10</v>
      </c>
      <c r="H47" s="2" t="str">
        <v>待协调4</v>
      </c>
      <c r="I47" s="2" t="str">
        <v>讯飞</v>
      </c>
      <c r="J47" s="2" t="str">
        <v>未开始</v>
      </c>
    </row>
    <row customHeight="true" ht="19" r="48">
      <c r="A48" s="4" t="str">
        <v>讯飞服务改造</v>
      </c>
      <c r="B48" s="4" t="str">
        <v>存储系统改造</v>
      </c>
      <c r="C48" s="5" t="str">
        <v>Storage\S3协议对接等</v>
      </c>
      <c r="D48" s="5" t="str">
        <v>2、应用功能测试</v>
      </c>
      <c r="E48" s="6">
        <f>F47</f>
      </c>
      <c r="F48" s="6">
        <f>WORKDAY.INTL(E48,G48)</f>
      </c>
      <c r="G48" s="2">
        <v>10</v>
      </c>
      <c r="H48" s="2" t="str">
        <v>待协调4</v>
      </c>
      <c r="I48" s="2" t="str">
        <v>讯飞</v>
      </c>
      <c r="J48" s="2" t="str">
        <v>未开始</v>
      </c>
    </row>
    <row customHeight="true" ht="19" r="49">
      <c r="A49" s="4" t="str">
        <v>讯飞服务改造</v>
      </c>
      <c r="B49" s="4" t="str">
        <v>存储系统改造</v>
      </c>
      <c r="C49" s="5" t="str">
        <v>Storage\S3协议对接等</v>
      </c>
      <c r="D49" s="5" t="str">
        <v>3、应用性能测试</v>
      </c>
      <c r="E49" s="6">
        <f>F48</f>
      </c>
      <c r="F49" s="6">
        <f>WORKDAY.INTL(E49,G49)</f>
      </c>
      <c r="G49" s="2">
        <v>10</v>
      </c>
      <c r="H49" s="2" t="str">
        <v>待协调4</v>
      </c>
      <c r="I49" s="2" t="str">
        <v>讯飞</v>
      </c>
      <c r="J49" s="2" t="str">
        <v>未开始</v>
      </c>
    </row>
    <row r="50">
      <c r="A50" s="4" t="str">
        <v>讯飞服务改造</v>
      </c>
      <c r="B50" s="4" t="str">
        <v>中间件同步工具研发</v>
      </c>
      <c r="C50" s="5" t="str">
        <v>天翼云无法上云中间件改造</v>
      </c>
      <c r="D50" s="5" t="str">
        <v>1、中间件双中心方案计划输出</v>
      </c>
      <c r="E50" s="6">
        <f>F21</f>
      </c>
      <c r="F50" s="6">
        <f>WORKDAY.INTL(E50,G50)</f>
      </c>
      <c r="G50" s="2">
        <v>10</v>
      </c>
      <c r="H50" s="2" t="str">
        <v>待协调2</v>
      </c>
      <c r="I50" s="2" t="str">
        <v>讯飞</v>
      </c>
      <c r="J50" s="2" t="str">
        <v>未开始</v>
      </c>
    </row>
    <row customHeight="true" ht="19" r="51">
      <c r="A51" s="4" t="str">
        <v>讯飞服务改造</v>
      </c>
      <c r="B51" s="4" t="str">
        <v>中间件同步工具研发</v>
      </c>
      <c r="C51" s="5" t="str">
        <v>天翼云无法上云中间件改造</v>
      </c>
      <c r="D51" s="5" t="str">
        <v>2、中间件双中心改造</v>
      </c>
      <c r="E51" s="6">
        <f>F50</f>
      </c>
      <c r="F51" s="6">
        <f>WORKDAY.INTL(E51,G51)</f>
      </c>
      <c r="G51" s="2">
        <v>20</v>
      </c>
      <c r="H51" s="2" t="str">
        <v>待协调2</v>
      </c>
      <c r="I51" s="2" t="str">
        <v>讯飞</v>
      </c>
      <c r="J51" s="2" t="str">
        <v>未开始</v>
      </c>
    </row>
    <row customHeight="true" ht="19" r="52">
      <c r="A52" s="4" t="str">
        <v>讯飞服务改造</v>
      </c>
      <c r="B52" s="4" t="str">
        <v>中间件同步工具研发</v>
      </c>
      <c r="C52" s="5" t="str">
        <v>天翼云无法上云中间件改造</v>
      </c>
      <c r="D52" s="5" t="str">
        <v>3、中间件双中心测试</v>
      </c>
      <c r="E52" s="6">
        <f>F51</f>
      </c>
      <c r="F52" s="6">
        <f>WORKDAY.INTL(E52,G52)</f>
      </c>
      <c r="G52" s="2">
        <v>20</v>
      </c>
      <c r="H52" s="2" t="str">
        <v>待协调2</v>
      </c>
      <c r="I52" s="2" t="str">
        <v>讯飞</v>
      </c>
      <c r="J52" s="2" t="str">
        <v>未开始</v>
      </c>
    </row>
    <row customHeight="true" ht="19" r="53">
      <c r="A53" s="4" t="str">
        <v>讯飞服务改造</v>
      </c>
      <c r="B53" s="4" t="str">
        <v>中间件同步工具研发</v>
      </c>
      <c r="C53" s="5" t="str">
        <v>天翼云无法上云中间件改造</v>
      </c>
      <c r="D53" s="5" t="str">
        <v>4、中间件双中心性能</v>
      </c>
      <c r="E53" s="6">
        <f>F52</f>
      </c>
      <c r="F53" s="6">
        <f>WORKDAY.INTL(E53,G53)</f>
      </c>
      <c r="G53" s="2">
        <v>10</v>
      </c>
      <c r="H53" s="2" t="str">
        <v>待协调2</v>
      </c>
      <c r="I53" s="2" t="str">
        <v>讯飞</v>
      </c>
      <c r="J53" s="2" t="str">
        <v>未开始</v>
      </c>
    </row>
    <row customHeight="true" ht="36" r="54">
      <c r="A54" s="4" t="str">
        <v>讯飞服务迁移</v>
      </c>
      <c r="B54" s="4" t="str">
        <v>服务迁移</v>
      </c>
      <c r="C54" s="5" t="str">
        <v>迁移中间件</v>
      </c>
      <c r="D54" s="5"/>
      <c r="E54" s="6">
        <f>F21</f>
      </c>
      <c r="F54" s="6">
        <f>WORKDAY.INTL(E54,G54)</f>
      </c>
      <c r="G54" s="2">
        <v>10</v>
      </c>
      <c r="H54" s="2" t="str">
        <v>待协调运维1</v>
      </c>
      <c r="I54" s="2" t="str">
        <v>讯飞</v>
      </c>
      <c r="J54" s="2" t="str">
        <v>未开始</v>
      </c>
    </row>
    <row customHeight="true" ht="36" r="55">
      <c r="A55" s="4" t="str">
        <v>讯飞服务迁移</v>
      </c>
      <c r="B55" s="4" t="str">
        <v>服务迁移</v>
      </c>
      <c r="C55" s="5" t="str">
        <v>迁移应用服务</v>
      </c>
      <c r="D55" s="5"/>
      <c r="E55" s="6">
        <f>F54</f>
      </c>
      <c r="F55" s="6">
        <f>WORKDAY.INTL(E55,G55)</f>
      </c>
      <c r="G55" s="2">
        <v>10</v>
      </c>
      <c r="H55" s="2" t="str">
        <v>待协调运维1</v>
      </c>
      <c r="I55" s="2" t="str">
        <v>讯飞</v>
      </c>
      <c r="J55" s="2" t="str">
        <v>未开始</v>
      </c>
    </row>
    <row customHeight="true" ht="36" r="56">
      <c r="A56" s="4" t="str">
        <v>讯飞服务部署</v>
      </c>
      <c r="B56" s="4" t="str">
        <v>双中心部署</v>
      </c>
      <c r="C56" s="5" t="str">
        <v>调整应用服务部署</v>
      </c>
      <c r="D56" s="5"/>
      <c r="E56" s="6">
        <f>F55</f>
      </c>
      <c r="F56" s="7">
        <f>WORKDAY.INTL(E56,G56)</f>
      </c>
      <c r="G56" s="2">
        <v>10</v>
      </c>
      <c r="H56" s="2" t="str">
        <v>待协调运维1</v>
      </c>
      <c r="I56" s="2" t="str">
        <v>讯飞</v>
      </c>
      <c r="J56" s="2" t="str">
        <v>未开始</v>
      </c>
    </row>
    <row customHeight="true" ht="36" r="57">
      <c r="A57" s="4" t="str">
        <v>讯飞服务部署</v>
      </c>
      <c r="B57" s="4" t="str">
        <v>双中心部署</v>
      </c>
      <c r="C57" s="5" t="str">
        <v>调整中间件部署</v>
      </c>
      <c r="D57" s="5"/>
      <c r="E57" s="6">
        <f>F56</f>
      </c>
      <c r="F57" s="7">
        <f>WORKDAY.INTL(E57,G57)</f>
      </c>
      <c r="G57" s="2">
        <v>10</v>
      </c>
      <c r="H57" s="2" t="str">
        <v>待协调运维1</v>
      </c>
      <c r="I57" s="2" t="str">
        <v>讯飞</v>
      </c>
      <c r="J57" s="2" t="str">
        <v>未开始</v>
      </c>
    </row>
    <row customHeight="true" ht="36" r="58">
      <c r="A58" s="4" t="str">
        <v>讯飞服务验证</v>
      </c>
      <c r="B58" s="4" t="str">
        <v>双中心</v>
      </c>
      <c r="C58" s="5" t="str">
        <v>验证双中心功能</v>
      </c>
      <c r="D58" s="5"/>
      <c r="E58" s="6">
        <f>F57</f>
      </c>
      <c r="F58" s="7">
        <f>WORKDAY.INTL(E58,G58)</f>
      </c>
      <c r="G58" s="2">
        <v>10</v>
      </c>
      <c r="H58" s="2" t="str">
        <v>待协调运维1</v>
      </c>
      <c r="I58" s="2" t="str">
        <v>讯飞</v>
      </c>
      <c r="J58" s="2" t="str">
        <v>未开始</v>
      </c>
    </row>
    <row r="59">
      <c r="A59" s="4" t="str">
        <v>试运行</v>
      </c>
      <c r="B59" s="4" t="str">
        <v>双中心双活试运行</v>
      </c>
      <c r="C59" s="5" t="str">
        <v>双中心切换试运行</v>
      </c>
      <c r="D59" s="5"/>
      <c r="E59" s="6">
        <f>F58</f>
      </c>
      <c r="F59" s="6">
        <f>WORKDAY.INTL(E59,G59)</f>
      </c>
      <c r="G59" s="2">
        <v>10</v>
      </c>
      <c r="H59" s="2" t="str">
        <v>待协调运维1</v>
      </c>
      <c r="I59" s="2" t="str">
        <v>讯飞</v>
      </c>
      <c r="J59" s="2" t="str">
        <v>未开始</v>
      </c>
      <c r="K59" s="1" t="str">
        <v>可调整删减</v>
      </c>
    </row>
    <row customHeight="true" ht="19" r="60">
      <c r="A60" s="4" t="str">
        <v>试运行</v>
      </c>
      <c r="B60" s="4" t="str">
        <v>双中心双活正式运行</v>
      </c>
      <c r="C60" s="5" t="str">
        <v>正式运行后运维</v>
      </c>
      <c r="D60" s="5"/>
      <c r="E60" s="6">
        <f>F59</f>
      </c>
      <c r="F60" s="6">
        <f>WORKDAY.INTL(E60,G60)</f>
      </c>
      <c r="G60" s="2">
        <v>20</v>
      </c>
      <c r="H60" s="2" t="str">
        <v>待协调运维1</v>
      </c>
      <c r="I60" s="2" t="str">
        <v>讯飞</v>
      </c>
      <c r="J60" s="2" t="str">
        <v>未开始</v>
      </c>
      <c r="K60" s="1" t="str">
        <v>可调整删减</v>
      </c>
    </row>
    <row customHeight="true" ht="19" r="61">
      <c r="A61" s="4" t="str">
        <v>回退</v>
      </c>
      <c r="B61" s="4" t="str">
        <v>回退</v>
      </c>
      <c r="C61" s="5" t="str">
        <v>双中心运行失败，整体回退</v>
      </c>
      <c r="D61" s="5"/>
      <c r="E61" s="6">
        <f>F60</f>
      </c>
      <c r="F61" s="6">
        <f>WORKDAY.INTL(E61,G61)</f>
      </c>
      <c r="G61" s="2">
        <v>20</v>
      </c>
      <c r="H61" s="2" t="str">
        <v>待协调运维1</v>
      </c>
      <c r="I61" s="2" t="str">
        <v>讯飞</v>
      </c>
      <c r="J61" s="2" t="str">
        <v>未开始</v>
      </c>
      <c r="K61" s="1" t="str">
        <v>可调整删减</v>
      </c>
    </row>
    <row r="62">
      <c r="A62" s="4"/>
      <c r="B62" s="4"/>
      <c r="C62" s="5"/>
      <c r="D62" s="5"/>
      <c r="E62" s="6"/>
      <c r="F62" s="6"/>
      <c r="G62" s="2">
        <f>SUM(G7:G61)</f>
      </c>
      <c r="H62" s="2"/>
      <c r="I62" s="2"/>
      <c r="J62" s="2"/>
    </row>
  </sheetData>
  <dataValidations count="1">
    <dataValidation allowBlank="true" errorStyle="stop" showErrorMessage="true" sqref="J2:J62" type="list">
      <formula1>"已完成,未开始,未通过,进行中"</formula1>
    </dataValidation>
  </dataValidation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17"/>
    <col collapsed="false" customWidth="true" hidden="false" max="3" min="3" style="0" width="37"/>
    <col collapsed="false" customWidth="true" hidden="false" max="4" min="4" style="0" width="42"/>
    <col collapsed="false" customWidth="true" hidden="false" max="5" min="5" style="0" width="10"/>
    <col collapsed="false" customWidth="true" hidden="false" max="6" min="6" style="0" width="32"/>
    <col collapsed="false" customWidth="true" hidden="false" max="7" min="7" style="0" width="12"/>
    <col collapsed="false" customWidth="true" hidden="false" max="8" min="8" style="0" width="10"/>
    <col collapsed="false" customWidth="true" hidden="false" max="9" min="9" style="0" width="9"/>
    <col collapsed="false" customWidth="true" hidden="false" max="10" min="10" style="0" width="10"/>
    <col collapsed="false" customWidth="true" hidden="false" max="11" min="11" style="0" width="14"/>
  </cols>
  <sheetData>
    <row r="1">
      <c r="A1" s="13" t="str">
        <v>大类</v>
      </c>
      <c r="B1" s="13" t="str">
        <v>小类</v>
      </c>
      <c r="C1" s="13" t="str">
        <v>功能调整点</v>
      </c>
      <c r="D1" s="13" t="str">
        <v>详细内容</v>
      </c>
      <c r="E1" s="14" t="str">
        <v>开始时间</v>
      </c>
      <c r="F1" s="14" t="str">
        <v>完成时间</v>
      </c>
      <c r="G1" s="13" t="str">
        <v>工作量预估</v>
      </c>
      <c r="H1" s="13" t="str">
        <v>负责人</v>
      </c>
      <c r="I1" s="13" t="str">
        <v>负责方</v>
      </c>
      <c r="J1" s="13" t="str">
        <v>状态</v>
      </c>
    </row>
    <row r="2">
      <c r="A2" s="4" t="str">
        <v>天翼云迁移</v>
      </c>
      <c r="B2" s="4" t="str">
        <v>资源评估</v>
      </c>
      <c r="C2" s="5" t="str">
        <v>新增线路接入北京机房梳理北京 5 现有资源，根据业务情况进行资源分 组，明确哪些资源迁移至华北 AZ1，哪些迁移至 华北 AZ</v>
      </c>
      <c r="D2" s="5"/>
      <c r="E2" s="2"/>
      <c r="F2" s="2" t="str">
        <v>T</v>
      </c>
      <c r="G2" s="2">
        <v>5</v>
      </c>
      <c r="H2" s="2"/>
      <c r="I2" s="2" t="str">
        <v>天翼云</v>
      </c>
      <c r="J2" s="2" t="str">
        <v>进行中</v>
      </c>
    </row>
    <row customHeight="true" ht="34" r="3">
      <c r="A3" s="4" t="str">
        <v>天翼云迁移</v>
      </c>
      <c r="B3" s="4" t="str">
        <v>环境搭建</v>
      </c>
      <c r="C3" s="5" t="str">
        <v>开通北京 5 至华北的临时专线，在华北开通迁移所 需的全部资源</v>
      </c>
      <c r="D3" s="5"/>
      <c r="E3" s="2"/>
      <c r="F3" s="2"/>
      <c r="G3" s="2">
        <v>5</v>
      </c>
      <c r="H3" s="2"/>
      <c r="I3" s="2" t="str">
        <v>天翼云</v>
      </c>
      <c r="J3" s="2"/>
    </row>
    <row customHeight="true" ht="34" r="4">
      <c r="A4" s="4" t="str">
        <v>天翼云迁移</v>
      </c>
      <c r="B4" s="4" t="str">
        <v>数据迁移</v>
      </c>
      <c r="C4" s="5" t="str">
        <v>通过迁移工具对云主机、弹性文件、对象存储、 RDS 数据库进行数据迁</v>
      </c>
      <c r="D4" s="5"/>
      <c r="E4" s="2"/>
      <c r="F4" s="2"/>
      <c r="G4" s="2">
        <v>20</v>
      </c>
      <c r="H4" s="2"/>
      <c r="I4" s="2" t="str">
        <v>天翼云</v>
      </c>
      <c r="J4" s="2"/>
    </row>
    <row customHeight="true" ht="34" r="5">
      <c r="A5" s="4" t="str">
        <v>天翼云迁移</v>
      </c>
      <c r="B5" s="4" t="str">
        <v>割接准备</v>
      </c>
      <c r="C5" s="5" t="str">
        <v>制定割接计划、完成备线割接、明确各环节操作及 保障人员</v>
      </c>
      <c r="D5" s="5"/>
      <c r="E5" s="2"/>
      <c r="F5" s="2"/>
      <c r="G5" s="2">
        <v>3</v>
      </c>
      <c r="H5" s="2"/>
      <c r="I5" s="2" t="str">
        <v>天翼云</v>
      </c>
      <c r="J5" s="2"/>
    </row>
    <row customHeight="true" ht="34" r="6">
      <c r="A6" s="4" t="str">
        <v>天翼云迁移</v>
      </c>
      <c r="B6" s="4" t="str">
        <v>业务割接</v>
      </c>
      <c r="C6" s="5" t="str">
        <v>按割接方案进行业务割接并验证，迁移完成</v>
      </c>
      <c r="D6" s="5"/>
      <c r="E6" s="2"/>
      <c r="F6" s="2"/>
      <c r="G6" s="2">
        <v>1</v>
      </c>
      <c r="H6" s="2"/>
      <c r="I6" s="2" t="str">
        <v>天翼云</v>
      </c>
      <c r="J6" s="2"/>
    </row>
    <row customHeight="true" ht="34" r="7">
      <c r="A7" s="4" t="str">
        <v>讯飞方案设计</v>
      </c>
      <c r="B7" s="4" t="str">
        <v>方案整理</v>
      </c>
      <c r="C7" s="5" t="str">
        <v>整体双中心双活计划</v>
      </c>
      <c r="D7" s="5" t="str">
        <v>1、完成整体建设计划编写、相关资源协调</v>
      </c>
      <c r="E7" s="16">
        <v>45537</v>
      </c>
      <c r="F7" s="7">
        <f>WORKDAY.INTL(E7,G7)</f>
      </c>
      <c r="G7" s="2">
        <v>5</v>
      </c>
      <c r="H7" s="2" t="str">
        <v>陈亚男</v>
      </c>
      <c r="I7" s="2" t="str">
        <v>讯飞</v>
      </c>
      <c r="J7" s="2" t="str">
        <v>未开始</v>
      </c>
    </row>
    <row customHeight="true" ht="34" r="8">
      <c r="A8" s="4" t="str">
        <v>讯飞方案设计</v>
      </c>
      <c r="B8" s="4" t="str">
        <v>方案整理</v>
      </c>
      <c r="C8" s="5" t="str">
        <v>整体双中心双活计划</v>
      </c>
      <c r="D8" s="5" t="str">
        <v>2、完成建设计划内部评审、优化调整</v>
      </c>
      <c r="E8" s="6">
        <f>F7</f>
      </c>
      <c r="F8" s="7">
        <f>WORKDAY.INTL(E8,G8)</f>
      </c>
      <c r="G8" s="2">
        <v>5</v>
      </c>
      <c r="H8" s="2" t="str">
        <v>陈亚男</v>
      </c>
      <c r="I8" s="2" t="str">
        <v>讯飞</v>
      </c>
      <c r="J8" s="2" t="str">
        <v>未开始</v>
      </c>
    </row>
    <row r="9">
      <c r="A9" s="4" t="str">
        <v>讯飞方案设计</v>
      </c>
      <c r="B9" s="4" t="str">
        <v>方案评估</v>
      </c>
      <c r="C9" s="5" t="str">
        <v>详细方案</v>
      </c>
      <c r="D9" s="5" t="str">
        <v>1、完成详细方案设计
</v>
      </c>
      <c r="E9" s="6">
        <f>F8</f>
      </c>
      <c r="F9" s="6">
        <f>WORKDAY.INTL(E9,G9)</f>
      </c>
      <c r="G9" s="2">
        <v>10</v>
      </c>
      <c r="H9" s="2" t="str">
        <v>陈亚男</v>
      </c>
      <c r="I9" s="2" t="str">
        <v>讯飞</v>
      </c>
      <c r="J9" s="2" t="str">
        <v>未开始</v>
      </c>
    </row>
    <row customHeight="true" ht="45" r="10">
      <c r="A10" s="4" t="str">
        <v>讯飞方案设计</v>
      </c>
      <c r="B10" s="4" t="str">
        <v>方案评估</v>
      </c>
      <c r="C10" s="5" t="str">
        <v>详细方案</v>
      </c>
      <c r="D10" s="5" t="str">
        <v>2、完成详细方案应用可行性验证</v>
      </c>
      <c r="E10" s="6">
        <f>F9</f>
      </c>
      <c r="F10" s="6">
        <f>WORKDAY.INTL(E10,G10)</f>
      </c>
      <c r="G10" s="2">
        <v>10</v>
      </c>
      <c r="H10" s="2" t="str">
        <v>陈亚男</v>
      </c>
      <c r="I10" s="2" t="str">
        <v>讯飞</v>
      </c>
      <c r="J10" s="2" t="str">
        <v>未开始</v>
      </c>
    </row>
    <row customHeight="true" ht="45" r="11">
      <c r="A11" s="4" t="str">
        <v>讯飞方案设计</v>
      </c>
      <c r="B11" s="4" t="str">
        <v>方案评估</v>
      </c>
      <c r="C11" s="5" t="str">
        <v>详细方案</v>
      </c>
      <c r="D11" s="5" t="str">
        <v>3、完成详细方案中间件可行性验证</v>
      </c>
      <c r="E11" s="6">
        <f>F10</f>
      </c>
      <c r="F11" s="6">
        <f>WORKDAY.INTL(E11,G11)</f>
      </c>
      <c r="G11" s="2">
        <v>5</v>
      </c>
      <c r="H11" s="2" t="str">
        <v>陈亚男</v>
      </c>
      <c r="I11" s="2" t="str">
        <v>讯飞</v>
      </c>
      <c r="J11" s="2" t="str">
        <v>未开始</v>
      </c>
    </row>
    <row customHeight="true" ht="45" r="12">
      <c r="A12" s="4" t="str">
        <v>讯飞方案设计</v>
      </c>
      <c r="B12" s="4" t="str">
        <v>方案评估</v>
      </c>
      <c r="C12" s="5" t="str">
        <v>详细方案</v>
      </c>
      <c r="D12" s="5" t="str">
        <v>4、完成详细方案评审</v>
      </c>
      <c r="E12" s="6">
        <f>F11</f>
      </c>
      <c r="F12" s="6">
        <f>WORKDAY.INTL(E12,G12)</f>
      </c>
      <c r="G12" s="2">
        <v>5</v>
      </c>
      <c r="H12" s="2" t="str">
        <v>陈亚男</v>
      </c>
      <c r="I12" s="2" t="str">
        <v>讯飞</v>
      </c>
      <c r="J12" s="2" t="str">
        <v>未开始</v>
      </c>
    </row>
    <row customHeight="true" ht="45" r="13">
      <c r="A13" s="4" t="str">
        <v>讯飞方案设计</v>
      </c>
      <c r="B13" s="4" t="str">
        <v>方案评估</v>
      </c>
      <c r="C13" s="5" t="str">
        <v>详细方案</v>
      </c>
      <c r="D13" s="5" t="str">
        <v>4、完成详细方案修改</v>
      </c>
      <c r="E13" s="6">
        <f>F12</f>
      </c>
      <c r="F13" s="6">
        <f>WORKDAY.INTL(E13,G13)</f>
      </c>
      <c r="G13" s="2">
        <v>10</v>
      </c>
      <c r="H13" s="2" t="str">
        <v>陈亚男</v>
      </c>
      <c r="I13" s="2" t="str">
        <v>讯飞</v>
      </c>
      <c r="J13" s="2"/>
    </row>
    <row customHeight="true" ht="45" r="14">
      <c r="A14" s="4" t="str">
        <v>讯飞方案设计</v>
      </c>
      <c r="B14" s="4" t="str">
        <v>方案执行</v>
      </c>
      <c r="C14" s="5" t="str">
        <v>详细方案方案执行跟踪</v>
      </c>
      <c r="D14" s="5" t="str">
        <v>5、完成融通侧双中心服务器资源协调与建设计划同步
6、跟踪整体建设方案、进度</v>
      </c>
      <c r="E14" s="6">
        <f>F13</f>
      </c>
      <c r="F14" s="6">
        <f>WORKDAY.INTL(E14,G14)</f>
      </c>
      <c r="G14" s="2">
        <v>30</v>
      </c>
      <c r="H14" s="2" t="str">
        <v>陈亚男</v>
      </c>
      <c r="I14" s="2" t="str">
        <v>讯飞</v>
      </c>
      <c r="J14" s="2" t="str">
        <v>未开始</v>
      </c>
    </row>
    <row customHeight="true" ht="19" r="15">
      <c r="A15" s="4" t="str">
        <v>讯飞方案设计</v>
      </c>
      <c r="B15" s="4" t="str">
        <v>资源评估</v>
      </c>
      <c r="C15" s="5" t="str">
        <v>根据天翼云规划的机器进行应用服务规划</v>
      </c>
      <c r="D15" s="5" t="str">
        <v>1、将单中心、双集群梳理为双中心双集群</v>
      </c>
      <c r="E15" s="6">
        <f>F8</f>
      </c>
      <c r="F15" s="6">
        <f>WORKDAY.INTL(E15,G15)</f>
      </c>
      <c r="G15" s="2">
        <v>5</v>
      </c>
      <c r="H15" s="2" t="str">
        <v>待协调运维1</v>
      </c>
      <c r="I15" s="2" t="str">
        <v>讯飞</v>
      </c>
      <c r="J15" s="2" t="str">
        <v>未开始</v>
      </c>
    </row>
    <row customHeight="true" ht="36" r="16">
      <c r="A16" s="4" t="str">
        <v>讯飞服务迁移</v>
      </c>
      <c r="B16" s="4" t="str">
        <v>网络关系梳理</v>
      </c>
      <c r="C16" s="5" t="str">
        <v>根据天翼云迁移后机器网络，进行网络关系梳理</v>
      </c>
      <c r="D16" s="5" t="str">
        <v>1、梳理双中心网络关系</v>
      </c>
      <c r="E16" s="6">
        <f>F15</f>
      </c>
      <c r="F16" s="7">
        <f>WORKDAY.INTL(E16,G16)</f>
      </c>
      <c r="G16" s="2">
        <v>5</v>
      </c>
      <c r="H16" s="2" t="str">
        <v>待协调运维1</v>
      </c>
      <c r="I16" s="2" t="str">
        <v>讯飞</v>
      </c>
      <c r="J16" s="2" t="str">
        <v>未开始</v>
      </c>
    </row>
    <row customHeight="true" ht="34" r="17">
      <c r="A17" s="4" t="str">
        <v>讯飞方案设计</v>
      </c>
      <c r="B17" s="4" t="str">
        <v>计划输出</v>
      </c>
      <c r="C17" s="5" t="str">
        <v>产品改造详细计划输出</v>
      </c>
      <c r="D17" s="5" t="str">
        <v>1、涉及产品改造方案输出</v>
      </c>
      <c r="E17" s="6">
        <f>E9</f>
      </c>
      <c r="F17" s="6">
        <f>WORKDAY.INTL(E17,G17)</f>
      </c>
      <c r="G17" s="2">
        <v>10</v>
      </c>
      <c r="H17" s="2" t="str">
        <v>待协调1</v>
      </c>
      <c r="I17" s="2" t="str">
        <v>讯飞</v>
      </c>
      <c r="J17" s="2" t="str">
        <v>未开始</v>
      </c>
    </row>
    <row customHeight="true" ht="34" r="18">
      <c r="A18" s="4" t="str">
        <v>讯飞方案设计</v>
      </c>
      <c r="B18" s="4" t="str">
        <v>计划输出</v>
      </c>
      <c r="C18" s="5" t="str">
        <v>产品改造详细计划输出</v>
      </c>
      <c r="D18" s="5" t="str">
        <v>2、涉及产品改造方案方案评审</v>
      </c>
      <c r="E18" s="6">
        <f>F17</f>
      </c>
      <c r="F18" s="6">
        <f>WORKDAY.INTL(E18,G18)</f>
      </c>
      <c r="G18" s="2">
        <v>10</v>
      </c>
      <c r="H18" s="2" t="str">
        <v>待协调1</v>
      </c>
      <c r="I18" s="2" t="str">
        <v>讯飞</v>
      </c>
      <c r="J18" s="2" t="str">
        <v>未开始</v>
      </c>
    </row>
    <row customHeight="true" ht="34" r="19">
      <c r="A19" s="4" t="str">
        <v>讯飞方案设计</v>
      </c>
      <c r="B19" s="4" t="str">
        <v>方案验证</v>
      </c>
      <c r="C19" s="5" t="str">
        <v>产品方案验证</v>
      </c>
      <c r="D19" s="5" t="str">
        <v>3、方案验证</v>
      </c>
      <c r="E19" s="6">
        <f>F18</f>
      </c>
      <c r="F19" s="7">
        <f>WORKDAY.INTL(E19,G19)</f>
      </c>
      <c r="G19" s="2">
        <v>10</v>
      </c>
      <c r="H19" s="2" t="str">
        <v>待协调1</v>
      </c>
      <c r="I19" s="2" t="str">
        <v>讯飞</v>
      </c>
      <c r="J19" s="2" t="str">
        <v>未开始</v>
      </c>
    </row>
    <row customHeight="true" ht="34" r="20">
      <c r="A20" s="4" t="str">
        <v>讯飞方案设计</v>
      </c>
      <c r="B20" s="4" t="str">
        <v>方案验证</v>
      </c>
      <c r="C20" s="5" t="str">
        <v>产品方案调整</v>
      </c>
      <c r="D20" s="5" t="str">
        <v>4、方案调整</v>
      </c>
      <c r="E20" s="6">
        <f>F19</f>
      </c>
      <c r="F20" s="7">
        <f>WORKDAY.INTL(E20,G20)</f>
      </c>
      <c r="G20" s="2">
        <v>10</v>
      </c>
      <c r="H20" s="2" t="str">
        <v>待协调1</v>
      </c>
      <c r="I20" s="2" t="str">
        <v>讯飞</v>
      </c>
      <c r="J20" s="2" t="str">
        <v>未开始</v>
      </c>
    </row>
    <row customHeight="true" ht="34" r="21">
      <c r="A21" s="4" t="str">
        <v>讯飞方案设计</v>
      </c>
      <c r="B21" s="4" t="str">
        <v>计划输出</v>
      </c>
      <c r="C21" s="5" t="str">
        <v>中间件详细计划输出</v>
      </c>
      <c r="D21" s="5" t="str">
        <v>1、涉及中间件改造方案输出
</v>
      </c>
      <c r="E21" s="6">
        <f>E9</f>
      </c>
      <c r="F21" s="6">
        <f>WORKDAY.INTL(E21,G21)</f>
      </c>
      <c r="G21" s="2">
        <v>10</v>
      </c>
      <c r="H21" s="2" t="str">
        <v>待协调2</v>
      </c>
      <c r="I21" s="2" t="str">
        <v>讯飞</v>
      </c>
      <c r="J21" s="2" t="str">
        <v>未开始</v>
      </c>
    </row>
    <row customHeight="true" ht="34" r="22">
      <c r="A22" s="4" t="str">
        <v>讯飞方案设计</v>
      </c>
      <c r="B22" s="4" t="str">
        <v>计划输出</v>
      </c>
      <c r="C22" s="5" t="str">
        <v>中间件详细计划输出</v>
      </c>
      <c r="D22" s="5" t="str">
        <v>2、方案评审</v>
      </c>
      <c r="E22" s="6">
        <f>F21</f>
      </c>
      <c r="F22" s="6">
        <f>WORKDAY.INTL(E22,G22)</f>
      </c>
      <c r="G22" s="2">
        <v>10</v>
      </c>
      <c r="H22" s="2" t="str">
        <v>待协调2</v>
      </c>
      <c r="I22" s="2" t="str">
        <v>讯飞</v>
      </c>
      <c r="J22" s="2" t="str">
        <v>未开始</v>
      </c>
    </row>
    <row customHeight="true" ht="34" r="23">
      <c r="A23" s="4" t="str">
        <v>讯飞方案设计</v>
      </c>
      <c r="B23" s="4" t="str">
        <v>方案验证</v>
      </c>
      <c r="C23" s="5" t="str">
        <v>中间件方案验证</v>
      </c>
      <c r="D23" s="5" t="str">
        <v>3、方案验证</v>
      </c>
      <c r="E23" s="6">
        <f>F22</f>
      </c>
      <c r="F23" s="7">
        <f>WORKDAY.INTL(E23,G23)</f>
      </c>
      <c r="G23" s="2">
        <v>10</v>
      </c>
      <c r="H23" s="2" t="str">
        <v>待协调2</v>
      </c>
      <c r="I23" s="2" t="str">
        <v>讯飞</v>
      </c>
      <c r="J23" s="2" t="str">
        <v>未开始</v>
      </c>
    </row>
    <row customHeight="true" ht="34" r="24">
      <c r="A24" s="4" t="str">
        <v>讯飞方案设计</v>
      </c>
      <c r="B24" s="4" t="str">
        <v>方案验证</v>
      </c>
      <c r="C24" s="5" t="str">
        <v>中间件方案调整</v>
      </c>
      <c r="D24" s="5" t="str">
        <v>4、方案调整</v>
      </c>
      <c r="E24" s="6">
        <f>F23</f>
      </c>
      <c r="F24" s="7">
        <f>WORKDAY.INTL(E24,G24)</f>
      </c>
      <c r="G24" s="2">
        <v>10</v>
      </c>
      <c r="H24" s="2" t="str">
        <v>待协调2</v>
      </c>
      <c r="I24" s="2" t="str">
        <v>讯飞</v>
      </c>
      <c r="J24" s="2" t="str">
        <v>未开始</v>
      </c>
    </row>
    <row customHeight="true" ht="19" r="25">
      <c r="A25" s="4" t="str">
        <v>讯飞服务改造</v>
      </c>
      <c r="B25" s="4" t="str">
        <v>语音系统改造</v>
      </c>
      <c r="C25" s="5" t="str">
        <v>AICC座席工作台</v>
      </c>
      <c r="D25" s="5" t="str">
        <v>1、应用改造</v>
      </c>
      <c r="E25" s="6">
        <f>F21</f>
      </c>
      <c r="F25" s="6">
        <f>WORKDAY.INTL(E25,G25)</f>
      </c>
      <c r="G25" s="2">
        <v>10</v>
      </c>
      <c r="H25" s="2" t="str">
        <v>待协调1</v>
      </c>
      <c r="I25" s="2" t="str">
        <v>讯飞</v>
      </c>
      <c r="J25" s="2" t="str">
        <v>未开始</v>
      </c>
    </row>
    <row customHeight="true" ht="19" r="26">
      <c r="A26" s="4" t="str">
        <v>讯飞服务改造</v>
      </c>
      <c r="B26" s="4" t="str">
        <v>语音系统改造</v>
      </c>
      <c r="C26" s="5" t="str">
        <v>AICC座席工作台</v>
      </c>
      <c r="D26" s="5" t="str">
        <v>2、应用功能测试</v>
      </c>
      <c r="E26" s="6">
        <f>F25</f>
      </c>
      <c r="F26" s="6">
        <f>WORKDAY.INTL(E26,G26)</f>
      </c>
      <c r="G26" s="2">
        <v>10</v>
      </c>
      <c r="H26" s="2" t="str">
        <v>待协调1</v>
      </c>
      <c r="I26" s="2" t="str">
        <v>讯飞</v>
      </c>
      <c r="J26" s="2" t="str">
        <v>未开始</v>
      </c>
    </row>
    <row customHeight="true" ht="19" r="27">
      <c r="A27" s="4" t="str">
        <v>讯飞服务改造</v>
      </c>
      <c r="B27" s="4" t="str">
        <v>语音系统改造</v>
      </c>
      <c r="C27" s="5" t="str">
        <v>AICC座席工作台</v>
      </c>
      <c r="D27" s="5" t="str">
        <v>3、应用性能测试</v>
      </c>
      <c r="E27" s="6">
        <f>F26</f>
      </c>
      <c r="F27" s="6">
        <f>WORKDAY.INTL(E27,G27)</f>
      </c>
      <c r="G27" s="2">
        <v>10</v>
      </c>
      <c r="H27" s="2" t="str">
        <v>待协调1</v>
      </c>
      <c r="I27" s="2" t="str">
        <v>讯飞</v>
      </c>
      <c r="J27" s="2" t="str">
        <v>未开始</v>
      </c>
    </row>
    <row customHeight="true" ht="19" r="28">
      <c r="A28" s="4" t="str">
        <v>讯飞服务改造</v>
      </c>
      <c r="B28" s="4" t="str">
        <v>语音系统改造</v>
      </c>
      <c r="C28" s="5" t="str">
        <v>软交换平台</v>
      </c>
      <c r="D28" s="5" t="str">
        <v>1、应用改造</v>
      </c>
      <c r="E28" s="6">
        <f>F21</f>
      </c>
      <c r="F28" s="6">
        <f>WORKDAY.INTL(E28,G28)</f>
      </c>
      <c r="G28" s="2">
        <v>10</v>
      </c>
      <c r="H28" s="2" t="str">
        <v>待协调2</v>
      </c>
      <c r="I28" s="2" t="str">
        <v>讯飞</v>
      </c>
      <c r="J28" s="2" t="str">
        <v>未开始</v>
      </c>
    </row>
    <row customHeight="true" ht="19" r="29">
      <c r="A29" s="4" t="str">
        <v>讯飞服务改造</v>
      </c>
      <c r="B29" s="4" t="str">
        <v>语音系统改造</v>
      </c>
      <c r="C29" s="5" t="str">
        <v>软交换平台</v>
      </c>
      <c r="D29" s="5" t="str">
        <v>2、应用功能测试</v>
      </c>
      <c r="E29" s="6">
        <f>F28</f>
      </c>
      <c r="F29" s="6">
        <f>WORKDAY.INTL(E29,G29)</f>
      </c>
      <c r="G29" s="2">
        <v>10</v>
      </c>
      <c r="H29" s="2" t="str">
        <v>待协调2</v>
      </c>
      <c r="I29" s="2" t="str">
        <v>讯飞</v>
      </c>
      <c r="J29" s="2" t="str">
        <v>未开始</v>
      </c>
    </row>
    <row customHeight="true" ht="19" r="30">
      <c r="A30" s="4" t="str">
        <v>讯飞服务改造</v>
      </c>
      <c r="B30" s="4" t="str">
        <v>语音系统改造</v>
      </c>
      <c r="C30" s="5" t="str">
        <v>软交换平台</v>
      </c>
      <c r="D30" s="5" t="str">
        <v>3、应用性能测试</v>
      </c>
      <c r="E30" s="6">
        <f>F29</f>
      </c>
      <c r="F30" s="6">
        <f>WORKDAY.INTL(E30,G30)</f>
      </c>
      <c r="G30" s="2">
        <v>10</v>
      </c>
      <c r="H30" s="2" t="str">
        <v>待协调2</v>
      </c>
      <c r="I30" s="2" t="str">
        <v>讯飞</v>
      </c>
      <c r="J30" s="2" t="str">
        <v>未开始</v>
      </c>
    </row>
    <row customHeight="true" ht="19" r="31">
      <c r="A31" s="4" t="str">
        <v>讯飞服务改造</v>
      </c>
      <c r="B31" s="4" t="str">
        <v>在线系统改造</v>
      </c>
      <c r="C31" s="5" t="str">
        <v>IM文字客服</v>
      </c>
      <c r="D31" s="5" t="str">
        <v>1、应用改造</v>
      </c>
      <c r="E31" s="6">
        <f>F21</f>
      </c>
      <c r="F31" s="6">
        <f>WORKDAY.INTL(E31,G31)</f>
      </c>
      <c r="G31" s="2">
        <v>10</v>
      </c>
      <c r="H31" s="2" t="str">
        <v>待协调3</v>
      </c>
      <c r="I31" s="2" t="str">
        <v>讯飞</v>
      </c>
      <c r="J31" s="2" t="str">
        <v>未开始</v>
      </c>
      <c r="K31" s="1"/>
    </row>
    <row customHeight="true" ht="19" r="32">
      <c r="A32" s="4" t="str">
        <v>讯飞服务改造</v>
      </c>
      <c r="B32" s="4" t="str">
        <v>在线系统改造</v>
      </c>
      <c r="C32" s="5" t="str">
        <v>IM文字客服</v>
      </c>
      <c r="D32" s="5" t="str">
        <v>2、应用功能测试</v>
      </c>
      <c r="E32" s="6">
        <f>F31</f>
      </c>
      <c r="F32" s="6">
        <f>WORKDAY.INTL(E32,G32)</f>
      </c>
      <c r="G32" s="2">
        <v>10</v>
      </c>
      <c r="H32" s="2" t="str">
        <v>待协调3</v>
      </c>
      <c r="I32" s="2" t="str">
        <v>讯飞</v>
      </c>
      <c r="J32" s="2" t="str">
        <v>未开始</v>
      </c>
      <c r="K32" s="1"/>
    </row>
    <row customHeight="true" ht="19" r="33">
      <c r="A33" s="4" t="str">
        <v>讯飞服务改造</v>
      </c>
      <c r="B33" s="4" t="str">
        <v>在线系统改造</v>
      </c>
      <c r="C33" s="5" t="str">
        <v>IM文字客服</v>
      </c>
      <c r="D33" s="5" t="str">
        <v>3、应用性能测试</v>
      </c>
      <c r="E33" s="6">
        <f>F32</f>
      </c>
      <c r="F33" s="6">
        <f>WORKDAY.INTL(E33,G33)</f>
      </c>
      <c r="G33" s="2">
        <v>10</v>
      </c>
      <c r="H33" s="2" t="str">
        <v>待协调3</v>
      </c>
      <c r="I33" s="2" t="str">
        <v>讯飞</v>
      </c>
      <c r="J33" s="2" t="str">
        <v>未开始</v>
      </c>
      <c r="K33" s="1"/>
    </row>
    <row customHeight="true" ht="19" r="34">
      <c r="A34" s="8" t="str">
        <v>讯飞服务改造</v>
      </c>
      <c r="B34" s="8" t="str">
        <v>智能化服务改造</v>
      </c>
      <c r="C34" s="9" t="str">
        <v>融智知识库</v>
      </c>
      <c r="D34" s="9" t="str">
        <v>1、应用改造</v>
      </c>
      <c r="E34" s="10"/>
      <c r="F34" s="10"/>
      <c r="G34" s="11"/>
      <c r="H34" s="11" t="str">
        <v>待协调4</v>
      </c>
      <c r="I34" s="11" t="str">
        <v>讯飞</v>
      </c>
      <c r="J34" s="11" t="str">
        <v>未开始</v>
      </c>
      <c r="K34" s="12" t="str">
        <v>优先级降低</v>
      </c>
    </row>
    <row customHeight="true" ht="19" r="35">
      <c r="A35" s="8" t="str">
        <v>讯飞服务改造</v>
      </c>
      <c r="B35" s="8" t="str">
        <v>智能化服务改造</v>
      </c>
      <c r="C35" s="9" t="str">
        <v>融智知识库</v>
      </c>
      <c r="D35" s="9" t="str">
        <v>2、应用功能测试</v>
      </c>
      <c r="E35" s="10"/>
      <c r="F35" s="10"/>
      <c r="G35" s="11"/>
      <c r="H35" s="11" t="str">
        <v>待协调4</v>
      </c>
      <c r="I35" s="11" t="str">
        <v>讯飞</v>
      </c>
      <c r="J35" s="11" t="str">
        <v>未开始</v>
      </c>
      <c r="K35" s="12" t="str">
        <v>优先级降低</v>
      </c>
    </row>
    <row customHeight="true" ht="19" r="36">
      <c r="A36" s="8" t="str">
        <v>讯飞服务改造</v>
      </c>
      <c r="B36" s="8" t="str">
        <v>智能化服务改造</v>
      </c>
      <c r="C36" s="9" t="str">
        <v>融智知识库</v>
      </c>
      <c r="D36" s="9" t="str">
        <v>3、应用性能测试</v>
      </c>
      <c r="E36" s="10"/>
      <c r="F36" s="10"/>
      <c r="G36" s="11"/>
      <c r="H36" s="11" t="str">
        <v>待协调4</v>
      </c>
      <c r="I36" s="11" t="str">
        <v>讯飞</v>
      </c>
      <c r="J36" s="11" t="str">
        <v>未开始</v>
      </c>
      <c r="K36" s="12" t="str">
        <v>优先级降低</v>
      </c>
    </row>
    <row customHeight="true" ht="19" r="37">
      <c r="A37" s="8" t="str">
        <v>讯飞服务改造</v>
      </c>
      <c r="B37" s="8" t="str">
        <v>智能化服务改造</v>
      </c>
      <c r="C37" s="9" t="str">
        <v>AI+管理平台</v>
      </c>
      <c r="D37" s="9"/>
      <c r="E37" s="10"/>
      <c r="F37" s="10"/>
      <c r="G37" s="11"/>
      <c r="H37" s="11" t="str">
        <v>待协调5</v>
      </c>
      <c r="I37" s="11" t="str">
        <v>讯飞</v>
      </c>
      <c r="J37" s="11" t="str">
        <v>未开始</v>
      </c>
      <c r="K37" s="12" t="str">
        <v>优先级降低</v>
      </c>
    </row>
    <row customHeight="true" ht="19" r="38">
      <c r="A38" s="8" t="str">
        <v>讯飞服务改造</v>
      </c>
      <c r="B38" s="8" t="str">
        <v>智能化服务改造</v>
      </c>
      <c r="C38" s="9" t="str">
        <v>智能外呼</v>
      </c>
      <c r="D38" s="9"/>
      <c r="E38" s="10"/>
      <c r="F38" s="10"/>
      <c r="G38" s="11"/>
      <c r="H38" s="11" t="str">
        <v>待协调5</v>
      </c>
      <c r="I38" s="11" t="str">
        <v>讯飞</v>
      </c>
      <c r="J38" s="11" t="str">
        <v>未开始</v>
      </c>
      <c r="K38" s="12" t="str">
        <v>优先级降低</v>
      </c>
    </row>
    <row customHeight="true" ht="19" r="39">
      <c r="A39" s="8" t="str">
        <v>讯飞服务改造</v>
      </c>
      <c r="B39" s="8" t="str">
        <v>智能化服务改造</v>
      </c>
      <c r="C39" s="9" t="str">
        <v>智能质检</v>
      </c>
      <c r="D39" s="9"/>
      <c r="E39" s="10"/>
      <c r="F39" s="10"/>
      <c r="G39" s="11"/>
      <c r="H39" s="11" t="str">
        <v>待协调5</v>
      </c>
      <c r="I39" s="11" t="str">
        <v>讯飞</v>
      </c>
      <c r="J39" s="11" t="str">
        <v>未开始</v>
      </c>
      <c r="K39" s="12" t="str">
        <v>优先级降低</v>
      </c>
    </row>
    <row customHeight="true" ht="19" r="40">
      <c r="A40" s="8" t="str">
        <v>讯飞服务改造</v>
      </c>
      <c r="B40" s="8" t="str">
        <v>智能化服务改造</v>
      </c>
      <c r="C40" s="9" t="str">
        <v>智能助手</v>
      </c>
      <c r="D40" s="9"/>
      <c r="E40" s="10"/>
      <c r="F40" s="10"/>
      <c r="G40" s="11"/>
      <c r="H40" s="11" t="str">
        <v>待协调5</v>
      </c>
      <c r="I40" s="11" t="str">
        <v>讯飞</v>
      </c>
      <c r="J40" s="11" t="str">
        <v>未开始</v>
      </c>
      <c r="K40" s="12" t="str">
        <v>优先级降低</v>
      </c>
    </row>
    <row customHeight="true" ht="19" r="41">
      <c r="A41" s="8" t="str">
        <v>讯飞服务改造</v>
      </c>
      <c r="B41" s="8" t="str">
        <v>周边服务改造</v>
      </c>
      <c r="C41" s="9" t="str">
        <v>人工质检</v>
      </c>
      <c r="D41" s="9"/>
      <c r="E41" s="10"/>
      <c r="F41" s="10"/>
      <c r="G41" s="11"/>
      <c r="H41" s="11" t="str">
        <v>待协调5</v>
      </c>
      <c r="I41" s="11" t="str">
        <v>讯飞</v>
      </c>
      <c r="J41" s="11" t="str">
        <v>未开始</v>
      </c>
      <c r="K41" s="12" t="str">
        <v>优先级降低</v>
      </c>
    </row>
    <row customHeight="true" ht="19" r="42">
      <c r="A42" s="8" t="str">
        <v>讯飞服务改造</v>
      </c>
      <c r="B42" s="8" t="str">
        <v>周边服务改造</v>
      </c>
      <c r="C42" s="9" t="str">
        <v>监控平台</v>
      </c>
      <c r="D42" s="9"/>
      <c r="E42" s="10"/>
      <c r="F42" s="10"/>
      <c r="G42" s="11"/>
      <c r="H42" s="11" t="str">
        <v>待协调5</v>
      </c>
      <c r="I42" s="11" t="str">
        <v>讯飞</v>
      </c>
      <c r="J42" s="11" t="str">
        <v>未开始</v>
      </c>
      <c r="K42" s="12" t="str">
        <v>优先级降低</v>
      </c>
    </row>
    <row customHeight="true" ht="19" r="43">
      <c r="A43" s="8" t="str">
        <v>讯飞服务改造</v>
      </c>
      <c r="B43" s="8" t="str">
        <v>数据服务改造</v>
      </c>
      <c r="C43" s="9" t="str">
        <v>数据运营/能力平台</v>
      </c>
      <c r="D43" s="9"/>
      <c r="E43" s="10"/>
      <c r="F43" s="10"/>
      <c r="G43" s="11"/>
      <c r="H43" s="11" t="str">
        <v>待协调5</v>
      </c>
      <c r="I43" s="11" t="str">
        <v>讯飞</v>
      </c>
      <c r="J43" s="11" t="str">
        <v>未开始</v>
      </c>
      <c r="K43" s="12" t="str">
        <v>优先级降低</v>
      </c>
    </row>
    <row customHeight="true" ht="19" r="44">
      <c r="A44" s="4" t="str">
        <v>讯飞服务改造</v>
      </c>
      <c r="B44" s="4" t="str">
        <v>周边服务改造</v>
      </c>
      <c r="C44" s="5" t="str">
        <v>UAP</v>
      </c>
      <c r="D44" s="5" t="str">
        <v>1、应用改造</v>
      </c>
      <c r="E44" s="6">
        <f>F21</f>
      </c>
      <c r="F44" s="6">
        <f>WORKDAY.INTL(E44,G44)</f>
      </c>
      <c r="G44" s="2">
        <v>10</v>
      </c>
      <c r="H44" s="2" t="str">
        <v>待协调4</v>
      </c>
      <c r="I44" s="2" t="str">
        <v>讯飞</v>
      </c>
      <c r="J44" s="2" t="str">
        <v>未开始</v>
      </c>
    </row>
    <row customHeight="true" ht="19" r="45">
      <c r="A45" s="4" t="str">
        <v>讯飞服务改造</v>
      </c>
      <c r="B45" s="4" t="str">
        <v>周边服务改造</v>
      </c>
      <c r="C45" s="5" t="str">
        <v>UAP</v>
      </c>
      <c r="D45" s="5" t="str">
        <v>2、应用功能测试</v>
      </c>
      <c r="E45" s="6">
        <f>F44</f>
      </c>
      <c r="F45" s="6">
        <f>WORKDAY.INTL(E45,G45)</f>
      </c>
      <c r="G45" s="2">
        <v>10</v>
      </c>
      <c r="H45" s="2" t="str">
        <v>待协调4</v>
      </c>
      <c r="I45" s="2" t="str">
        <v>讯飞</v>
      </c>
      <c r="J45" s="2" t="str">
        <v>未开始</v>
      </c>
    </row>
    <row customHeight="true" ht="19" r="46">
      <c r="A46" s="4" t="str">
        <v>讯飞服务改造</v>
      </c>
      <c r="B46" s="4" t="str">
        <v>周边服务改造</v>
      </c>
      <c r="C46" s="5" t="str">
        <v>UAP</v>
      </c>
      <c r="D46" s="5" t="str">
        <v>3、应用性能测试</v>
      </c>
      <c r="E46" s="6">
        <f>F45</f>
      </c>
      <c r="F46" s="6">
        <f>WORKDAY.INTL(E46,G46)</f>
      </c>
      <c r="G46" s="2">
        <v>10</v>
      </c>
      <c r="H46" s="2" t="str">
        <v>待协调4</v>
      </c>
      <c r="I46" s="2" t="str">
        <v>讯飞</v>
      </c>
      <c r="J46" s="2" t="str">
        <v>未开始</v>
      </c>
    </row>
    <row customHeight="true" ht="19" r="47">
      <c r="A47" s="4" t="str">
        <v>讯飞服务改造</v>
      </c>
      <c r="B47" s="4" t="str">
        <v>存储系统改造</v>
      </c>
      <c r="C47" s="5" t="str">
        <v>Storage\S3协议对接等</v>
      </c>
      <c r="D47" s="5" t="str">
        <v>1、应用改造</v>
      </c>
      <c r="E47" s="6">
        <f>F21</f>
      </c>
      <c r="F47" s="6">
        <f>WORKDAY.INTL(E47,G47)</f>
      </c>
      <c r="G47" s="2">
        <v>10</v>
      </c>
      <c r="H47" s="2" t="str">
        <v>待协调4</v>
      </c>
      <c r="I47" s="2" t="str">
        <v>讯飞</v>
      </c>
      <c r="J47" s="2" t="str">
        <v>未开始</v>
      </c>
    </row>
    <row customHeight="true" ht="19" r="48">
      <c r="A48" s="4" t="str">
        <v>讯飞服务改造</v>
      </c>
      <c r="B48" s="4" t="str">
        <v>存储系统改造</v>
      </c>
      <c r="C48" s="5" t="str">
        <v>Storage\S3协议对接等</v>
      </c>
      <c r="D48" s="5" t="str">
        <v>2、应用功能测试</v>
      </c>
      <c r="E48" s="6">
        <f>F47</f>
      </c>
      <c r="F48" s="6">
        <f>WORKDAY.INTL(E48,G48)</f>
      </c>
      <c r="G48" s="2">
        <v>10</v>
      </c>
      <c r="H48" s="2" t="str">
        <v>待协调4</v>
      </c>
      <c r="I48" s="2" t="str">
        <v>讯飞</v>
      </c>
      <c r="J48" s="2" t="str">
        <v>未开始</v>
      </c>
    </row>
    <row customHeight="true" ht="19" r="49">
      <c r="A49" s="4" t="str">
        <v>讯飞服务改造</v>
      </c>
      <c r="B49" s="4" t="str">
        <v>存储系统改造</v>
      </c>
      <c r="C49" s="5" t="str">
        <v>Storage\S3协议对接等</v>
      </c>
      <c r="D49" s="5" t="str">
        <v>3、应用性能测试</v>
      </c>
      <c r="E49" s="6">
        <f>F48</f>
      </c>
      <c r="F49" s="6">
        <f>WORKDAY.INTL(E49,G49)</f>
      </c>
      <c r="G49" s="2">
        <v>10</v>
      </c>
      <c r="H49" s="2" t="str">
        <v>待协调4</v>
      </c>
      <c r="I49" s="2" t="str">
        <v>讯飞</v>
      </c>
      <c r="J49" s="2" t="str">
        <v>未开始</v>
      </c>
    </row>
    <row r="50">
      <c r="A50" s="4" t="str">
        <v>讯飞服务改造</v>
      </c>
      <c r="B50" s="4" t="str">
        <v>中间件同步工具研发</v>
      </c>
      <c r="C50" s="5" t="str">
        <v>天翼云无法上云中间件改造</v>
      </c>
      <c r="D50" s="5" t="str">
        <v>1、中间件双中心方案计划输出</v>
      </c>
      <c r="E50" s="6">
        <f>F21</f>
      </c>
      <c r="F50" s="6">
        <f>WORKDAY.INTL(E50,G50)</f>
      </c>
      <c r="G50" s="2">
        <v>10</v>
      </c>
      <c r="H50" s="2" t="str">
        <v>待协调2</v>
      </c>
      <c r="I50" s="2" t="str">
        <v>讯飞</v>
      </c>
      <c r="J50" s="2" t="str">
        <v>未开始</v>
      </c>
    </row>
    <row customHeight="true" ht="19" r="51">
      <c r="A51" s="4" t="str">
        <v>讯飞服务改造</v>
      </c>
      <c r="B51" s="4" t="str">
        <v>中间件同步工具研发</v>
      </c>
      <c r="C51" s="5" t="str">
        <v>天翼云无法上云中间件改造</v>
      </c>
      <c r="D51" s="5" t="str">
        <v>2、中间件双中心改造</v>
      </c>
      <c r="E51" s="6">
        <f>F50</f>
      </c>
      <c r="F51" s="6">
        <f>WORKDAY.INTL(E51,G51)</f>
      </c>
      <c r="G51" s="2">
        <v>20</v>
      </c>
      <c r="H51" s="2" t="str">
        <v>待协调2</v>
      </c>
      <c r="I51" s="2" t="str">
        <v>讯飞</v>
      </c>
      <c r="J51" s="2" t="str">
        <v>未开始</v>
      </c>
    </row>
    <row customHeight="true" ht="19" r="52">
      <c r="A52" s="4" t="str">
        <v>讯飞服务改造</v>
      </c>
      <c r="B52" s="4" t="str">
        <v>中间件同步工具研发</v>
      </c>
      <c r="C52" s="5" t="str">
        <v>天翼云无法上云中间件改造</v>
      </c>
      <c r="D52" s="5" t="str">
        <v>3、中间件双中心测试</v>
      </c>
      <c r="E52" s="6">
        <f>F51</f>
      </c>
      <c r="F52" s="6">
        <f>WORKDAY.INTL(E52,G52)</f>
      </c>
      <c r="G52" s="2">
        <v>20</v>
      </c>
      <c r="H52" s="2" t="str">
        <v>待协调2</v>
      </c>
      <c r="I52" s="2" t="str">
        <v>讯飞</v>
      </c>
      <c r="J52" s="2" t="str">
        <v>未开始</v>
      </c>
    </row>
    <row customHeight="true" ht="19" r="53">
      <c r="A53" s="4" t="str">
        <v>讯飞服务改造</v>
      </c>
      <c r="B53" s="4" t="str">
        <v>中间件同步工具研发</v>
      </c>
      <c r="C53" s="5" t="str">
        <v>天翼云无法上云中间件改造</v>
      </c>
      <c r="D53" s="5" t="str">
        <v>4、中间件双中心性能</v>
      </c>
      <c r="E53" s="6">
        <f>F52</f>
      </c>
      <c r="F53" s="6">
        <f>WORKDAY.INTL(E53,G53)</f>
      </c>
      <c r="G53" s="2">
        <v>10</v>
      </c>
      <c r="H53" s="2" t="str">
        <v>待协调2</v>
      </c>
      <c r="I53" s="2" t="str">
        <v>讯飞</v>
      </c>
      <c r="J53" s="2" t="str">
        <v>未开始</v>
      </c>
    </row>
    <row customHeight="true" ht="36" r="54">
      <c r="A54" s="4" t="str">
        <v>讯飞服务迁移</v>
      </c>
      <c r="B54" s="4" t="str">
        <v>服务迁移</v>
      </c>
      <c r="C54" s="5" t="str">
        <v>迁移中间件</v>
      </c>
      <c r="D54" s="5"/>
      <c r="E54" s="6">
        <f>F21</f>
      </c>
      <c r="F54" s="6">
        <f>WORKDAY.INTL(E54,G54)</f>
      </c>
      <c r="G54" s="2">
        <v>10</v>
      </c>
      <c r="H54" s="2" t="str">
        <v>待协调运维1</v>
      </c>
      <c r="I54" s="2" t="str">
        <v>讯飞</v>
      </c>
      <c r="J54" s="2" t="str">
        <v>未开始</v>
      </c>
    </row>
    <row customHeight="true" ht="36" r="55">
      <c r="A55" s="4" t="str">
        <v>讯飞服务迁移</v>
      </c>
      <c r="B55" s="4" t="str">
        <v>服务迁移</v>
      </c>
      <c r="C55" s="5" t="str">
        <v>迁移应用服务</v>
      </c>
      <c r="D55" s="5"/>
      <c r="E55" s="6">
        <f>F54</f>
      </c>
      <c r="F55" s="6">
        <f>WORKDAY.INTL(E55,G55)</f>
      </c>
      <c r="G55" s="2">
        <v>10</v>
      </c>
      <c r="H55" s="2" t="str">
        <v>待协调运维1</v>
      </c>
      <c r="I55" s="2" t="str">
        <v>讯飞</v>
      </c>
      <c r="J55" s="2" t="str">
        <v>未开始</v>
      </c>
    </row>
    <row customHeight="true" ht="36" r="56">
      <c r="A56" s="4" t="str">
        <v>讯飞服务部署</v>
      </c>
      <c r="B56" s="4" t="str">
        <v>双中心部署</v>
      </c>
      <c r="C56" s="5" t="str">
        <v>调整应用服务部署</v>
      </c>
      <c r="D56" s="5"/>
      <c r="E56" s="6">
        <f>F55</f>
      </c>
      <c r="F56" s="7">
        <f>WORKDAY.INTL(E56,G56)</f>
      </c>
      <c r="G56" s="2">
        <v>10</v>
      </c>
      <c r="H56" s="2" t="str">
        <v>待协调运维1</v>
      </c>
      <c r="I56" s="2" t="str">
        <v>讯飞</v>
      </c>
      <c r="J56" s="2" t="str">
        <v>未开始</v>
      </c>
    </row>
    <row customHeight="true" ht="36" r="57">
      <c r="A57" s="4" t="str">
        <v>讯飞服务部署</v>
      </c>
      <c r="B57" s="4" t="str">
        <v>双中心部署</v>
      </c>
      <c r="C57" s="5" t="str">
        <v>调整中间件部署</v>
      </c>
      <c r="D57" s="5"/>
      <c r="E57" s="6">
        <f>F56</f>
      </c>
      <c r="F57" s="7">
        <f>WORKDAY.INTL(E57,G57)</f>
      </c>
      <c r="G57" s="2">
        <v>10</v>
      </c>
      <c r="H57" s="2" t="str">
        <v>待协调运维1</v>
      </c>
      <c r="I57" s="2" t="str">
        <v>讯飞</v>
      </c>
      <c r="J57" s="2" t="str">
        <v>未开始</v>
      </c>
    </row>
    <row customHeight="true" ht="36" r="58">
      <c r="A58" s="4" t="str">
        <v>讯飞服务验证</v>
      </c>
      <c r="B58" s="4" t="str">
        <v>双中心</v>
      </c>
      <c r="C58" s="5" t="str">
        <v>验证双中心功能</v>
      </c>
      <c r="D58" s="5"/>
      <c r="E58" s="6">
        <f>F57</f>
      </c>
      <c r="F58" s="7">
        <f>WORKDAY.INTL(E58,G58)</f>
      </c>
      <c r="G58" s="2">
        <v>10</v>
      </c>
      <c r="H58" s="2" t="str">
        <v>待协调运维1</v>
      </c>
      <c r="I58" s="2" t="str">
        <v>讯飞</v>
      </c>
      <c r="J58" s="2" t="str">
        <v>未开始</v>
      </c>
    </row>
    <row r="59">
      <c r="A59" s="8" t="str">
        <v>试运行</v>
      </c>
      <c r="B59" s="8" t="str">
        <v>双中心双活试运行</v>
      </c>
      <c r="C59" s="9" t="str">
        <v>双中心切换试运行</v>
      </c>
      <c r="D59" s="9"/>
      <c r="E59" s="10">
        <f>F58</f>
      </c>
      <c r="F59" s="10">
        <f>WORKDAY.INTL(E59,G59)</f>
      </c>
      <c r="G59" s="11">
        <v>10</v>
      </c>
      <c r="H59" s="11" t="str">
        <v>待协调运维1</v>
      </c>
      <c r="I59" s="11" t="str">
        <v>讯飞</v>
      </c>
      <c r="J59" s="11" t="str">
        <v>未开始</v>
      </c>
      <c r="K59" s="12" t="str">
        <v>可调整删减</v>
      </c>
    </row>
    <row customHeight="true" ht="19" r="60">
      <c r="A60" s="8" t="str">
        <v>试运行</v>
      </c>
      <c r="B60" s="8" t="str">
        <v>双中心双活正式运行</v>
      </c>
      <c r="C60" s="9" t="str">
        <v>正式运行后运维</v>
      </c>
      <c r="D60" s="9"/>
      <c r="E60" s="10">
        <f>F59</f>
      </c>
      <c r="F60" s="10">
        <f>WORKDAY.INTL(E60,G60)</f>
      </c>
      <c r="G60" s="11">
        <v>20</v>
      </c>
      <c r="H60" s="11" t="str">
        <v>待协调运维1</v>
      </c>
      <c r="I60" s="11" t="str">
        <v>讯飞</v>
      </c>
      <c r="J60" s="11" t="str">
        <v>未开始</v>
      </c>
      <c r="K60" s="12" t="str">
        <v>可调整删减</v>
      </c>
    </row>
    <row customHeight="true" ht="19" r="61">
      <c r="A61" s="8" t="str">
        <v>回退</v>
      </c>
      <c r="B61" s="8" t="str">
        <v>回退</v>
      </c>
      <c r="C61" s="9" t="str">
        <v>双中心运行失败，整体回退</v>
      </c>
      <c r="D61" s="9"/>
      <c r="E61" s="10">
        <f>F60</f>
      </c>
      <c r="F61" s="10">
        <f>WORKDAY.INTL(E61,G61)</f>
      </c>
      <c r="G61" s="11">
        <v>20</v>
      </c>
      <c r="H61" s="11" t="str">
        <v>待协调运维1</v>
      </c>
      <c r="I61" s="11" t="str">
        <v>讯飞</v>
      </c>
      <c r="J61" s="11" t="str">
        <v>未开始</v>
      </c>
      <c r="K61" s="12" t="str">
        <v>可调整删减</v>
      </c>
    </row>
    <row r="62">
      <c r="A62" s="4"/>
      <c r="B62" s="4"/>
      <c r="C62" s="5"/>
      <c r="D62" s="5"/>
      <c r="E62" s="6"/>
      <c r="F62" s="6"/>
      <c r="G62" s="2">
        <f>SUM(G7:G61)</f>
      </c>
      <c r="H62" s="2"/>
      <c r="I62" s="2"/>
      <c r="J62" s="2"/>
    </row>
  </sheetData>
  <dataValidations count="1">
    <dataValidation allowBlank="true" errorStyle="stop" showErrorMessage="true" sqref="J2:J62" type="list">
      <formula1>"已完成,未开始,未通过,进行中"</formula1>
    </dataValidation>
  </dataValidations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23"/>
    <col collapsed="false" customWidth="true" hidden="false" max="3" min="3" style="0" width="34"/>
    <col collapsed="false" customWidth="true" hidden="false" max="4" min="4" style="0" width="34"/>
  </cols>
  <sheetData>
    <row customHeight="true" ht="19" r="1">
      <c r="A1" s="13" t="str">
        <v>大类</v>
      </c>
      <c r="B1" s="13" t="str">
        <v>小类</v>
      </c>
      <c r="C1" s="13" t="str">
        <v>功能调整点</v>
      </c>
      <c r="D1" s="13" t="str">
        <v>工作量</v>
      </c>
    </row>
    <row r="2">
      <c r="A2" s="18" t="str">
        <v>运营商中继申请及就绪</v>
      </c>
      <c r="B2" s="18" t="str">
        <v>中继申请</v>
      </c>
      <c r="C2" s="17" t="str">
        <v>联通线路申请资质准备及线路需求确认</v>
      </c>
      <c r="D2" s="18" t="str">
        <v>/</v>
      </c>
      <c r="E2" s="19"/>
    </row>
    <row r="3">
      <c r="A3" s="18"/>
      <c r="B3" s="18"/>
      <c r="C3" s="17" t="str">
        <v>移动线路申请资质准备及线路需求确认</v>
      </c>
      <c r="D3" s="18"/>
      <c r="E3" s="19"/>
    </row>
    <row r="4">
      <c r="A4" s="18"/>
      <c r="B4" s="18"/>
      <c r="C4" s="17" t="str">
        <v>联通线路申请方案确认</v>
      </c>
      <c r="D4" s="18" t="str">
        <v>/</v>
      </c>
      <c r="E4" s="19"/>
    </row>
    <row r="5">
      <c r="A5" s="18"/>
      <c r="B5" s="18"/>
      <c r="C5" s="17" t="str">
        <v>移动线路申请方案确认</v>
      </c>
      <c r="D5" s="18"/>
      <c r="E5" s="19"/>
    </row>
    <row r="6">
      <c r="A6" s="18"/>
      <c r="B6" s="18" t="str">
        <v>中继到位并就绪</v>
      </c>
      <c r="C6" s="17" t="str">
        <v>联通线路申请到位并就绪</v>
      </c>
      <c r="D6" s="18" t="str">
        <v>/</v>
      </c>
      <c r="E6" s="19"/>
    </row>
    <row r="7">
      <c r="A7" s="18"/>
      <c r="B7" s="18"/>
      <c r="C7" s="17" t="str">
        <v>移动线路申请到位并就绪</v>
      </c>
      <c r="D7" s="18"/>
      <c r="E7" s="19"/>
    </row>
    <row r="8">
      <c r="A8" s="18" t="str">
        <v>灾备环境部署功能验证</v>
      </c>
      <c r="B8" s="18" t="str">
        <v>灾备环境部署</v>
      </c>
      <c r="C8" s="17" t="str">
        <v>1. UAP
2. aicc坐席工作台
3. 呼叫平台
4. 导航识别引擎
5. 合成引擎
6. 言之和语义引擎
7. 中间件
9. IM</v>
      </c>
      <c r="D8" s="18" t="str">
        <v>/</v>
      </c>
      <c r="E8" s="19"/>
    </row>
    <row r="9">
      <c r="A9" s="18"/>
      <c r="B9" s="18"/>
      <c r="C9" s="17" t="str">
        <v>部署架构梳理、服务器资源评估，服务器资源申请</v>
      </c>
      <c r="D9" s="18">
        <v>5</v>
      </c>
      <c r="E9" s="19"/>
    </row>
    <row r="10">
      <c r="A10" s="18"/>
      <c r="B10" s="18"/>
      <c r="C10" s="17" t="str">
        <v>1. 数据能力平台部署
2. 言之和语义引擎扩容
3. 报表服务部署
4. aicc+呼叫中心集群部署</v>
      </c>
      <c r="D10" s="18">
        <v>10</v>
      </c>
      <c r="E10" s="19"/>
    </row>
    <row customHeight="true" ht="40" r="11">
      <c r="A11" s="18"/>
      <c r="B11" s="18"/>
      <c r="C11" s="17"/>
      <c r="D11" s="18"/>
      <c r="E11" s="19"/>
    </row>
    <row r="12">
      <c r="A12" s="18"/>
      <c r="B12" s="18" t="str">
        <v>功能验证</v>
      </c>
      <c r="C12" s="17" t="str">
        <v>语音平台基本功能验证</v>
      </c>
      <c r="D12" s="18">
        <v>2</v>
      </c>
      <c r="E12" s="19"/>
    </row>
    <row r="13">
      <c r="A13" s="18"/>
      <c r="B13" s="18"/>
      <c r="C13" s="17" t="str">
        <v>语音平台业务功能验证</v>
      </c>
      <c r="D13" s="18">
        <v>4</v>
      </c>
      <c r="E13" s="19"/>
    </row>
    <row r="14">
      <c r="A14" s="18" t="str">
        <v>网络建设和验证</v>
      </c>
      <c r="B14" s="18" t="str">
        <v>网络建设验证</v>
      </c>
      <c r="C14" s="17" t="str">
        <v>天翼云到厦门机房网络打通、验证</v>
      </c>
      <c r="D14" s="18" t="str">
        <v>/</v>
      </c>
      <c r="E14" s="19"/>
    </row>
    <row r="15">
      <c r="A15" s="18"/>
      <c r="B15" s="18"/>
      <c r="C15" s="17" t="str">
        <v>大成机房到厦门机房网络打通、验证</v>
      </c>
      <c r="D15" s="18" t="str">
        <v>/</v>
      </c>
      <c r="E15" s="19"/>
    </row>
    <row r="16">
      <c r="A16" s="18"/>
      <c r="B16" s="18"/>
      <c r="C16" s="17" t="str">
        <v>兴融机房到厦门机房网络打通、验证</v>
      </c>
      <c r="D16" s="18" t="str">
        <v>/</v>
      </c>
      <c r="E16" s="19"/>
    </row>
    <row r="17">
      <c r="A17" s="18"/>
      <c r="B17" s="18"/>
      <c r="C17" s="17" t="str">
        <v>北京职场到厦门机房网络打通、验证</v>
      </c>
      <c r="D17" s="18" t="str">
        <v>/</v>
      </c>
      <c r="E17" s="19"/>
    </row>
    <row r="18">
      <c r="A18" s="18"/>
      <c r="B18" s="18"/>
      <c r="C18" s="17" t="str">
        <v>天津职场到厦门机房网络打通、验证</v>
      </c>
      <c r="D18" s="18" t="str">
        <v>/</v>
      </c>
      <c r="E18" s="19"/>
    </row>
    <row r="19">
      <c r="A19" s="18"/>
      <c r="B19" s="18"/>
      <c r="C19" s="17" t="str">
        <v>长沙职场到厦门机房网络打通、验证</v>
      </c>
      <c r="D19" s="18" t="str">
        <v>/</v>
      </c>
      <c r="E19" s="19"/>
    </row>
    <row r="20">
      <c r="A20" s="18"/>
      <c r="B20" s="18" t="str">
        <v>DNS验证</v>
      </c>
      <c r="C20" s="17" t="str">
        <v>DNS手动切换验证</v>
      </c>
      <c r="D20" s="18" t="str">
        <v>/</v>
      </c>
      <c r="E20" s="19"/>
    </row>
    <row r="21">
      <c r="A21" s="18"/>
      <c r="B21" s="18"/>
      <c r="C21" s="17" t="str">
        <v>DNS自动切换验证</v>
      </c>
      <c r="D21" s="18">
        <v>2</v>
      </c>
      <c r="E21" s="19"/>
    </row>
    <row r="22">
      <c r="A22" s="18" t="str">
        <v>数据灾备方案验证</v>
      </c>
      <c r="B22" s="18" t="str">
        <v>mysql数据库灾备</v>
      </c>
      <c r="C22" s="17" t="str">
        <v>mysql数据库主从部署和同步测试验证</v>
      </c>
      <c r="D22" s="18">
        <v>2</v>
      </c>
      <c r="E22" s="19"/>
    </row>
    <row r="23">
      <c r="A23" s="18"/>
      <c r="B23" s="18"/>
      <c r="C23" s="17" t="str">
        <v>mysql数据库增量全量恢复验证</v>
      </c>
      <c r="D23" s="18">
        <v>2</v>
      </c>
      <c r="E23" s="19"/>
    </row>
    <row r="24">
      <c r="A24" s="18"/>
      <c r="B24" s="18"/>
      <c r="C24" s="17" t="str">
        <v>数据迁移、部署、数据恢复运维方案编写</v>
      </c>
      <c r="D24" s="18">
        <v>3</v>
      </c>
      <c r="E24" s="19"/>
    </row>
    <row r="25">
      <c r="A25" s="18"/>
      <c r="B25" s="18"/>
      <c r="C25" s="17" t="str">
        <v>完成数据库同步异常代码收集整理，梳理报警策略,状态获取方式</v>
      </c>
      <c r="D25" s="18">
        <v>1</v>
      </c>
      <c r="E25" s="19"/>
    </row>
    <row r="26">
      <c r="A26" s="18"/>
      <c r="B26" s="18"/>
      <c r="C26" s="17" t="str">
        <v>编写监控脚本，完成数据库同步状态收集和解析编写、报警策略分析逻辑。</v>
      </c>
      <c r="D26" s="18">
        <v>2</v>
      </c>
      <c r="E26" s="19"/>
    </row>
    <row r="27">
      <c r="A27" s="18"/>
      <c r="B27" s="18"/>
      <c r="C27" s="17" t="str">
        <v>完成异常报警上报对接(发邮件或上报监控平台)</v>
      </c>
      <c r="D27" s="18">
        <v>1</v>
      </c>
      <c r="E27" s="19"/>
    </row>
    <row r="28">
      <c r="A28" s="18"/>
      <c r="B28" s="18"/>
      <c r="C28" s="17" t="str">
        <v>监控脚本测试</v>
      </c>
      <c r="D28" s="18">
        <v>1</v>
      </c>
      <c r="E28" s="19"/>
    </row>
    <row r="29">
      <c r="A29" s="18"/>
      <c r="B29" s="18" t="str">
        <v>ES灾备方案</v>
      </c>
      <c r="C29" s="17" t="str">
        <v>nginx镜像双写环境部署和测试验证</v>
      </c>
      <c r="D29" s="18">
        <v>2</v>
      </c>
      <c r="E29" s="19"/>
    </row>
    <row r="30">
      <c r="A30" s="18"/>
      <c r="B30" s="18"/>
      <c r="C30" s="17" t="str">
        <v>ES镜像快照远程备份、数据恢复脚本编写，测试</v>
      </c>
      <c r="D30" s="18">
        <v>3</v>
      </c>
      <c r="E30" s="19"/>
    </row>
    <row r="31">
      <c r="A31" s="18"/>
      <c r="B31" s="18"/>
      <c r="C31" s="17" t="str">
        <v>ES镜像快照远程备份测试验证</v>
      </c>
      <c r="D31" s="18">
        <v>2</v>
      </c>
      <c r="E31" s="19"/>
    </row>
    <row r="32">
      <c r="A32" s="18"/>
      <c r="B32" s="18"/>
      <c r="C32" s="17" t="str">
        <v>ES镜像快照数据恢复测试验证</v>
      </c>
      <c r="D32" s="18">
        <v>2</v>
      </c>
      <c r="E32" s="19"/>
    </row>
    <row r="33">
      <c r="A33" s="18"/>
      <c r="B33" s="18"/>
      <c r="C33" s="17" t="str">
        <v>部署、数据迁移、数据恢复运维方案编写</v>
      </c>
      <c r="D33" s="18">
        <v>3</v>
      </c>
      <c r="E33" s="19"/>
    </row>
    <row r="34">
      <c r="A34" s="18"/>
      <c r="B34" s="18" t="str">
        <v>minio灾备方案</v>
      </c>
      <c r="C34" s="17" t="str">
        <v>主从同步环境部署、自动化脚本编写</v>
      </c>
      <c r="D34" s="18">
        <v>2</v>
      </c>
      <c r="E34" s="19"/>
    </row>
    <row r="35">
      <c r="A35" s="18"/>
      <c r="B35" s="18"/>
      <c r="C35" s="17" t="str">
        <v>minio实时主从同步测试验证</v>
      </c>
      <c r="D35" s="18">
        <v>1</v>
      </c>
      <c r="E35" s="19"/>
    </row>
    <row r="36">
      <c r="A36" s="18"/>
      <c r="B36" s="18"/>
      <c r="C36" s="17" t="str">
        <v>minio主中心数据恢复验证</v>
      </c>
      <c r="D36" s="18">
        <v>1</v>
      </c>
      <c r="E36" s="19"/>
    </row>
    <row r="37">
      <c r="A37" s="18"/>
      <c r="B37" s="18"/>
      <c r="C37" s="17" t="str">
        <v>数据迁移、部署、数据恢复运维方案编写</v>
      </c>
      <c r="D37" s="18">
        <v>3</v>
      </c>
      <c r="E37" s="19"/>
    </row>
    <row r="38">
      <c r="A38" s="18"/>
      <c r="B38" s="18"/>
      <c r="C38" s="17" t="str">
        <v>状态同步监控脚本编写和测试</v>
      </c>
      <c r="D38" s="18">
        <v>3</v>
      </c>
      <c r="E38" s="19"/>
    </row>
    <row r="39">
      <c r="A39" s="18"/>
      <c r="B39" s="18" t="str">
        <v>Doris灾备方案</v>
      </c>
      <c r="C39" s="17" t="str">
        <v>远程文件服务部署、手动备份和恢复验证</v>
      </c>
      <c r="D39" s="18">
        <v>2</v>
      </c>
      <c r="E39" s="19"/>
    </row>
    <row r="40">
      <c r="A40" s="18"/>
      <c r="B40" s="18"/>
      <c r="C40" s="17" t="str">
        <v>Doris远程备份脚本、数据恢复脚本编写</v>
      </c>
      <c r="D40" s="18">
        <v>2</v>
      </c>
      <c r="E40" s="19"/>
    </row>
    <row r="41">
      <c r="A41" s="18"/>
      <c r="B41" s="18"/>
      <c r="C41" s="17" t="str">
        <v>Doris数据远程备份测试验证</v>
      </c>
      <c r="D41" s="18">
        <v>1</v>
      </c>
      <c r="E41" s="19"/>
    </row>
    <row r="42">
      <c r="A42" s="18"/>
      <c r="B42" s="18"/>
      <c r="C42" s="17" t="str">
        <v>Doris备份数据恢复测试验证</v>
      </c>
      <c r="D42" s="18">
        <v>1</v>
      </c>
      <c r="E42" s="19"/>
    </row>
    <row r="43">
      <c r="A43" s="18"/>
      <c r="B43" s="18"/>
      <c r="C43" s="17" t="str">
        <v>灾备部署方案、数据迁移、数据恢复运维方案编写</v>
      </c>
      <c r="D43" s="18">
        <v>3</v>
      </c>
      <c r="E43" s="19"/>
    </row>
    <row r="44">
      <c r="A44" s="18" t="str">
        <v>中继联调</v>
      </c>
      <c r="B44" s="18" t="str">
        <v>语音网关部署</v>
      </c>
      <c r="C44" s="17" t="str">
        <v>1、设备上架
2、IP地址分配并配置
3、网络策略调整，与运营商（联通这、移动网络互通）</v>
      </c>
      <c r="D44" s="18">
        <v>2</v>
      </c>
      <c r="E44" s="19"/>
    </row>
    <row r="45">
      <c r="A45" s="18"/>
      <c r="B45" s="18" t="str">
        <v>移动中继联调</v>
      </c>
      <c r="C45" s="17" t="str">
        <v>移动运营商线路联调</v>
      </c>
      <c r="D45" s="18">
        <v>5</v>
      </c>
      <c r="E45" s="19"/>
    </row>
    <row r="46">
      <c r="A46" s="18"/>
      <c r="B46" s="18"/>
      <c r="C46" s="17" t="str">
        <v>移动线路与CC联调</v>
      </c>
      <c r="D46" s="18"/>
      <c r="E46" s="19"/>
    </row>
    <row r="47">
      <c r="A47" s="18"/>
      <c r="B47" s="18" t="str">
        <v>联通中继联调</v>
      </c>
      <c r="C47" s="17" t="str">
        <v>联通运营商线路联调</v>
      </c>
      <c r="D47" s="18">
        <v>5</v>
      </c>
      <c r="E47" s="19"/>
    </row>
    <row r="48">
      <c r="A48" s="18"/>
      <c r="B48" s="18"/>
      <c r="C48" s="17" t="str">
        <v>联通线路与CC联调</v>
      </c>
      <c r="D48" s="18"/>
      <c r="E48" s="19"/>
    </row>
    <row r="49">
      <c r="A49" s="18" t="str">
        <v>部署实施</v>
      </c>
      <c r="B49" s="18" t="str">
        <v>组件升级</v>
      </c>
      <c r="C49" s="17" t="str">
        <v>灾备中心所有组件升级与主中心一致</v>
      </c>
      <c r="D49" s="18">
        <v>1</v>
      </c>
      <c r="E49" s="19"/>
    </row>
    <row r="50">
      <c r="A50" s="18"/>
      <c r="B50" s="18" t="str">
        <v>数据迁移</v>
      </c>
      <c r="C50" s="17" t="str">
        <v>mysql数据迁移到灾备中心，包括：
1. 业务数据
2. 配置数据
3. 导航流程数据</v>
      </c>
      <c r="D50" s="18">
        <v>2</v>
      </c>
      <c r="E50" s="19"/>
    </row>
    <row r="51">
      <c r="A51" s="18"/>
      <c r="B51" s="18"/>
      <c r="C51" s="17" t="str">
        <v>minio对象数据迁移到灾备中心</v>
      </c>
      <c r="D51" s="18">
        <v>2</v>
      </c>
      <c r="E51" s="19"/>
    </row>
    <row r="52">
      <c r="A52" s="18"/>
      <c r="B52" s="18"/>
      <c r="C52" s="17" t="str">
        <v>elasticsearch数据迁移到灾备中心</v>
      </c>
      <c r="D52" s="18">
        <v>2</v>
      </c>
      <c r="E52" s="19"/>
    </row>
    <row r="53">
      <c r="A53" s="18"/>
      <c r="B53" s="18"/>
      <c r="C53" s="17" t="str">
        <v>doris数据迁移到灾备中心</v>
      </c>
      <c r="D53" s="18">
        <v>2</v>
      </c>
      <c r="E53" s="19"/>
    </row>
    <row r="54">
      <c r="A54" s="18"/>
      <c r="B54" s="18" t="str">
        <v>灾备方案部署</v>
      </c>
      <c r="C54" s="17" t="str">
        <v>mysql主从复制配置部署</v>
      </c>
      <c r="D54" s="18">
        <v>2</v>
      </c>
      <c r="E54" s="19"/>
    </row>
    <row r="55">
      <c r="A55" s="18"/>
      <c r="B55" s="18"/>
      <c r="C55" s="17" t="str">
        <v>ES nginx镜像双写部署，应用配置修改</v>
      </c>
      <c r="D55" s="18">
        <v>2</v>
      </c>
      <c r="E55" s="19"/>
    </row>
    <row r="56">
      <c r="A56" s="18"/>
      <c r="B56" s="18"/>
      <c r="C56" s="17" t="str">
        <v>minio主从复制配置部署</v>
      </c>
      <c r="D56" s="18">
        <v>2</v>
      </c>
      <c r="E56" s="19"/>
    </row>
    <row r="57">
      <c r="A57" s="18"/>
      <c r="B57" s="18"/>
      <c r="C57" s="17" t="str">
        <v>厦门灾备中心搭建HDFS文件服务</v>
      </c>
      <c r="D57" s="18">
        <v>2</v>
      </c>
      <c r="E57" s="19"/>
    </row>
    <row r="58">
      <c r="A58" s="18"/>
      <c r="B58" s="18"/>
      <c r="C58" s="17" t="str">
        <v>doris部署自动备份脚本</v>
      </c>
      <c r="D58" s="18">
        <v>2</v>
      </c>
      <c r="E58" s="19"/>
    </row>
    <row r="59">
      <c r="A59" s="18" t="str">
        <v>灾备演练</v>
      </c>
      <c r="B59" s="18" t="str">
        <v>演练方案输出</v>
      </c>
      <c r="C59" s="17" t="str">
        <v>讯飞根据灾备中心需求输出灾备演练方案</v>
      </c>
      <c r="D59" s="18">
        <v>5</v>
      </c>
      <c r="E59" s="19"/>
    </row>
    <row r="60">
      <c r="A60" s="18"/>
      <c r="B60" s="18" t="str">
        <v>演练方案评审</v>
      </c>
      <c r="C60" s="17" t="str">
        <v>灾备演练方案评审及修订</v>
      </c>
      <c r="D60" s="18">
        <v>3</v>
      </c>
      <c r="E60" s="19"/>
    </row>
    <row r="61">
      <c r="A61" s="18"/>
      <c r="B61" s="18" t="str">
        <v>演练</v>
      </c>
      <c r="C61" s="17" t="str">
        <v>灾备切换演练</v>
      </c>
      <c r="D61" s="18">
        <v>9</v>
      </c>
      <c r="E61" s="19"/>
    </row>
    <row r="62">
      <c r="A62" s="18"/>
      <c r="B62" s="18"/>
      <c r="C62" s="17" t="str">
        <v>主中心回切演练</v>
      </c>
      <c r="D62" s="18"/>
      <c r="E62" s="19"/>
    </row>
  </sheetData>
  <mergeCells>
    <mergeCell ref="D61:D62"/>
    <mergeCell ref="B61:B62"/>
    <mergeCell ref="A59:A62"/>
    <mergeCell ref="B54:B58"/>
    <mergeCell ref="B50:B53"/>
    <mergeCell ref="A49:A58"/>
    <mergeCell ref="D47:D48"/>
    <mergeCell ref="B47:B48"/>
    <mergeCell ref="D45:D46"/>
    <mergeCell ref="B45:B46"/>
    <mergeCell ref="A44:A48"/>
    <mergeCell ref="B39:B43"/>
    <mergeCell ref="B34:B38"/>
    <mergeCell ref="B29:B33"/>
    <mergeCell ref="B22:B28"/>
    <mergeCell ref="A22:A43"/>
    <mergeCell ref="B20:B21"/>
    <mergeCell ref="B14:B19"/>
    <mergeCell ref="A14:A19"/>
    <mergeCell ref="B12:B13"/>
    <mergeCell ref="D10:D11"/>
    <mergeCell ref="C10:C11"/>
    <mergeCell ref="B8:B11"/>
    <mergeCell ref="A8:A13"/>
    <mergeCell ref="D6:D7"/>
    <mergeCell ref="B6:B7"/>
    <mergeCell ref="D4:D5"/>
    <mergeCell ref="D2:D3"/>
    <mergeCell ref="B2:B5"/>
    <mergeCell ref="A2:A7"/>
  </mergeCells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23"/>
    <col collapsed="false" customWidth="true" hidden="false" max="3" min="3" style="0" width="34"/>
    <col collapsed="false" customWidth="true" hidden="false" max="4" min="4" style="0" width="37"/>
    <col collapsed="false" customWidth="true" hidden="false" max="5" min="5" style="0" width="16"/>
    <col collapsed="false" customWidth="true" hidden="false" max="6" min="6" style="0" width="16"/>
    <col collapsed="false" customWidth="true" hidden="false" max="7" min="7" style="0" width="16"/>
  </cols>
  <sheetData>
    <row customHeight="true" ht="19" r="1">
      <c r="A1" s="13" t="str">
        <v>大类</v>
      </c>
      <c r="B1" s="13" t="str">
        <v>小类</v>
      </c>
      <c r="C1" s="13" t="str">
        <v>功能调整点</v>
      </c>
      <c r="D1" s="13" t="str">
        <v>详细内容</v>
      </c>
      <c r="E1" s="13" t="str">
        <v>完成时间</v>
      </c>
      <c r="F1" s="13" t="str">
        <v>负责方</v>
      </c>
      <c r="G1" s="13" t="str">
        <v>状态</v>
      </c>
    </row>
    <row customHeight="true" ht="34" r="2">
      <c r="A2" s="20" t="str">
        <v>线路</v>
      </c>
      <c r="B2" s="20" t="str">
        <v>线路接入</v>
      </c>
      <c r="C2" s="22" t="str">
        <v>新增线路接入北京机房</v>
      </c>
      <c r="D2" s="22" t="str">
        <v>新申请的电信、联通、移动线路接入融通机房</v>
      </c>
      <c r="E2" s="21" t="str">
        <v>T</v>
      </c>
      <c r="F2" s="21" t="str">
        <v>融通运维</v>
      </c>
      <c r="G2" s="21" t="str">
        <v>🧑🏻‍💻  进行中</v>
      </c>
    </row>
    <row customHeight="true" ht="19" r="3">
      <c r="A3" s="20" t="str">
        <v>测试环境</v>
      </c>
      <c r="B3" s="20" t="str">
        <v>机器人流程配置</v>
      </c>
      <c r="C3" s="5" t="str">
        <v>新增业务测试流程</v>
      </c>
      <c r="D3" s="5" t="str">
        <v>按照平均8个业务流程，1个工作日计算</v>
      </c>
      <c r="E3" s="2" t="str">
        <v>T+1</v>
      </c>
      <c r="F3" s="2" t="str">
        <v>讯飞运营</v>
      </c>
      <c r="G3" s="2" t="str">
        <v>🔜  未开始</v>
      </c>
    </row>
    <row customHeight="true" ht="19" r="4">
      <c r="A4" s="20"/>
      <c r="B4" s="20"/>
      <c r="C4" s="5" t="str">
        <v>新增业务测试流程测试</v>
      </c>
      <c r="D4" s="5" t="str">
        <v>按照平均8个业务流程，1个工作日计算</v>
      </c>
      <c r="E4" s="2" t="str">
        <v>T+1</v>
      </c>
      <c r="F4" s="2" t="str">
        <v>讯飞运营</v>
      </c>
      <c r="G4" s="2" t="str">
        <v>🔜  未开始</v>
      </c>
    </row>
    <row customHeight="true" ht="19" r="5">
      <c r="A5" s="20"/>
      <c r="B5" s="20" t="str">
        <v>业务配置</v>
      </c>
      <c r="C5" s="5" t="str">
        <v>服务号码配置</v>
      </c>
      <c r="D5" s="5" t="str">
        <v>配置新接入95号码的工作时间、提示音等</v>
      </c>
      <c r="E5" s="2" t="str">
        <v>T+2</v>
      </c>
      <c r="F5" s="2" t="str">
        <v>讯飞运营</v>
      </c>
      <c r="G5" s="2" t="str">
        <v>🔜  未开始</v>
      </c>
    </row>
    <row customHeight="true" ht="19" r="6">
      <c r="A6" s="20"/>
      <c r="B6" s="20"/>
      <c r="C6" s="5" t="str">
        <v>技能组配置</v>
      </c>
      <c r="D6" s="5" t="str">
        <v>配置新接入95号码的服务技能组</v>
      </c>
      <c r="E6" s="2" t="str">
        <v>T+2</v>
      </c>
      <c r="F6" s="2" t="str">
        <v>讯飞运营</v>
      </c>
      <c r="G6" s="2" t="str">
        <v>🔜  未开始</v>
      </c>
    </row>
    <row customHeight="true" ht="19" r="7">
      <c r="A7" s="20"/>
      <c r="B7" s="20"/>
      <c r="C7" s="5" t="str">
        <v>座席配置</v>
      </c>
      <c r="D7" s="5" t="str">
        <v>配置新接入95号码的服务座席、座席分配策略</v>
      </c>
      <c r="E7" s="2" t="str">
        <v>T+2</v>
      </c>
      <c r="F7" s="2" t="str">
        <v>讯飞运营</v>
      </c>
      <c r="G7" s="2" t="str">
        <v>🔜  未开始</v>
      </c>
    </row>
    <row customHeight="true" ht="19" r="8">
      <c r="A8" s="20"/>
      <c r="B8" s="20" t="str">
        <v>电话接入测试</v>
      </c>
      <c r="C8" s="5" t="str">
        <v>转人工测试</v>
      </c>
      <c r="D8" s="5" t="str">
        <v>拨打新接入95号码进行业务流程测试</v>
      </c>
      <c r="E8" s="2" t="str">
        <v>T+2</v>
      </c>
      <c r="F8" s="2" t="str">
        <v>讯飞运营</v>
      </c>
      <c r="G8" s="2" t="str">
        <v>🔜  未开始</v>
      </c>
    </row>
    <row customHeight="true" ht="19" r="9">
      <c r="A9" s="20" t="str">
        <v>生产环境</v>
      </c>
      <c r="B9" s="20" t="str">
        <v>线路联调</v>
      </c>
      <c r="C9" s="5" t="str">
        <v>拨号计划调整</v>
      </c>
      <c r="D9" s="5"/>
      <c r="E9" s="2" t="str">
        <v>T+5</v>
      </c>
      <c r="F9" s="2" t="str">
        <v>讯飞运维</v>
      </c>
      <c r="G9" s="2" t="str">
        <v>🔜  未开始</v>
      </c>
    </row>
    <row customHeight="true" ht="19" r="10">
      <c r="A10" s="20"/>
      <c r="B10" s="20"/>
      <c r="C10" s="5" t="str">
        <v>线路规则编写</v>
      </c>
      <c r="D10" s="5"/>
      <c r="E10" s="2" t="str">
        <v>T+5</v>
      </c>
      <c r="F10" s="2" t="str">
        <v>讯飞运维</v>
      </c>
      <c r="G10" s="2" t="str">
        <v>🔜  未开始</v>
      </c>
    </row>
    <row customHeight="true" ht="33" r="11">
      <c r="A11" s="20"/>
      <c r="B11" s="20"/>
      <c r="C11" s="5" t="str">
        <v>线路联通性测试-联通</v>
      </c>
      <c r="D11" s="5" t="str">
        <v>测试讯飞呼叫中心与运营商线路音频流、通话质量</v>
      </c>
      <c r="E11" s="2" t="str">
        <v>T+9</v>
      </c>
      <c r="F11" s="2" t="str">
        <v>讯飞运维</v>
      </c>
      <c r="G11" s="2" t="str">
        <v>🔜  未开始</v>
      </c>
    </row>
    <row customHeight="true" ht="32" r="12">
      <c r="A12" s="20"/>
      <c r="B12" s="20"/>
      <c r="C12" s="5" t="str">
        <v>线路联通性测试-电信</v>
      </c>
      <c r="D12" s="5" t="str">
        <v>测试讯飞呼叫中心与运营商线路音频流、通话质量</v>
      </c>
      <c r="E12" s="2" t="str">
        <v>T+13</v>
      </c>
      <c r="F12" s="2" t="str">
        <v>讯飞运维</v>
      </c>
      <c r="G12" s="2" t="str">
        <v>🔜  未开始</v>
      </c>
    </row>
    <row customHeight="true" ht="32" r="13">
      <c r="A13" s="20"/>
      <c r="B13" s="20"/>
      <c r="C13" s="5" t="str">
        <v>线路联通性测试-移动</v>
      </c>
      <c r="D13" s="5" t="str">
        <v>测试讯飞呼叫中心与运营商线路音频流、通话质量</v>
      </c>
      <c r="E13" s="2" t="str">
        <v>T+17</v>
      </c>
      <c r="F13" s="2" t="str">
        <v>讯飞运维</v>
      </c>
      <c r="G13" s="2" t="str">
        <v>🔜  未开始</v>
      </c>
    </row>
    <row customHeight="true" ht="19" r="14">
      <c r="A14" s="20"/>
      <c r="B14" s="20" t="str">
        <v>机器人流程配置</v>
      </c>
      <c r="C14" s="5" t="str">
        <v>导入业务测试流程</v>
      </c>
      <c r="D14" s="5" t="str">
        <v>导入测试环境流程</v>
      </c>
      <c r="E14" s="2" t="str">
        <v>T+18</v>
      </c>
      <c r="F14" s="2" t="str">
        <v>讯飞运营</v>
      </c>
      <c r="G14" s="2" t="str">
        <v>🔜  未开始</v>
      </c>
    </row>
    <row customHeight="true" ht="19" r="15">
      <c r="A15" s="20"/>
      <c r="B15" s="20"/>
      <c r="C15" s="5" t="str">
        <v>导入业务测试流程测试</v>
      </c>
      <c r="D15" s="5" t="str">
        <v>导入测试环境流程测试</v>
      </c>
      <c r="E15" s="2" t="str">
        <v>T+18</v>
      </c>
      <c r="F15" s="2" t="str">
        <v>讯飞运营</v>
      </c>
      <c r="G15" s="2" t="str">
        <v>🔜  未开始</v>
      </c>
    </row>
    <row customHeight="true" ht="19" r="16">
      <c r="A16" s="20"/>
      <c r="B16" s="20" t="str">
        <v>业务配置</v>
      </c>
      <c r="C16" s="5" t="str">
        <v>服务号码配置</v>
      </c>
      <c r="D16" s="5" t="str">
        <v>配置新接入95号码的工作时间、提示音等</v>
      </c>
      <c r="E16" s="2" t="str">
        <v>T+20</v>
      </c>
      <c r="F16" s="2" t="str">
        <v>讯飞运营</v>
      </c>
      <c r="G16" s="2" t="str">
        <v>🔜  未开始</v>
      </c>
    </row>
    <row customHeight="true" ht="19" r="17">
      <c r="A17" s="20"/>
      <c r="B17" s="20"/>
      <c r="C17" s="5" t="str">
        <v>技能组配置</v>
      </c>
      <c r="D17" s="5" t="str">
        <v>配置新接入95号码的服务技能组</v>
      </c>
      <c r="E17" s="2" t="str">
        <v>T+20</v>
      </c>
      <c r="F17" s="2" t="str">
        <v>讯飞运营</v>
      </c>
      <c r="G17" s="2" t="str">
        <v>🔜  未开始</v>
      </c>
    </row>
    <row customHeight="true" ht="19" r="18">
      <c r="A18" s="20"/>
      <c r="B18" s="20"/>
      <c r="C18" s="5" t="str">
        <v>座席配置</v>
      </c>
      <c r="D18" s="5" t="str">
        <v>配置新接入95号码的服务座席、座席分配策略</v>
      </c>
      <c r="E18" s="2" t="str">
        <v>T+20</v>
      </c>
      <c r="F18" s="2" t="str">
        <v>讯飞运营</v>
      </c>
      <c r="G18" s="2" t="str">
        <v>🔜  未开始</v>
      </c>
    </row>
    <row customHeight="true" ht="19" r="19">
      <c r="A19" s="20"/>
      <c r="B19" s="20" t="str">
        <v>电话接入测试</v>
      </c>
      <c r="C19" s="5" t="str">
        <v>转人工测试</v>
      </c>
      <c r="D19" s="5" t="str">
        <v>拨打新接入95号码进行业务流程测试</v>
      </c>
      <c r="E19" s="2" t="str">
        <v>T+20</v>
      </c>
      <c r="F19" s="2" t="str">
        <v>讯飞运营</v>
      </c>
      <c r="G19" s="2" t="str">
        <v>🔜  未开始</v>
      </c>
    </row>
  </sheetData>
  <mergeCells>
    <mergeCell ref="B5:B7"/>
    <mergeCell ref="B3:B4"/>
    <mergeCell ref="A3:A8"/>
    <mergeCell ref="A9:A19"/>
    <mergeCell ref="B16:B18"/>
    <mergeCell ref="B14:B15"/>
    <mergeCell ref="B9:B13"/>
  </mergeCells>
  <dataValidations count="1">
    <dataValidation allowBlank="true" errorStyle="stop" showErrorMessage="true" sqref="G2:G19" type="list">
      <formula1>"✅  已完成,🔜  未开始,❌  未通过,🧑🏻‍💻  进行中"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
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计划与资源排期" sheetId="2" r:id="rId5"/>
    <sheet name="工作量-总计-代办" sheetId="3" r:id="rId6"/>
    <sheet name="灾备更新建设计划" sheetId="4" r:id="rId7"/>
    <sheet name="验收清单" sheetId="5" r:id="rId8"/>
    <sheet name="双中心双活建设计划-初步排期" sheetId="6" r:id="rId9" state="hidden"/>
    <sheet name="双中心双活建设计划-初步排期-细排" sheetId="7" r:id="rId10" state="hidden"/>
    <sheet name="双中心双活建设计划-初步排期-3个月-备份" sheetId="8" r:id="rId11" state="hidden"/>
    <sheet name="双中心双活建设计划-初步排期-6个月-old" sheetId="9" r:id="rId12" state="hidden"/>
    <sheet name="95号码建设计划-old" sheetId="10" r:id="rId13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<sst xmlns="http://schemas.openxmlformats.org/spreadsheetml/2006/main" count="8" uniqueCount="8">
  <si>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</si>
  <si>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/>
    <r>
      <rPr>
        <sz val="9.75"/>
        <color rgb="FF000000"/>
        <rFont val="Calibri"/>
        <family val="2"/>
      </rPr>
      <t>1.完成</t>
    </r>
    <r>
      <rPr>
        <b/>
        <sz val="9.75"/>
        <color rgb="FF000000"/>
        <rFont val="Calibri"/>
        <family val="2"/>
      </rPr>
      <t xml:space="preserve">整体建设计划编写：
</t>
    </r>
    <r>
      <rPr>
        <sz val="9.75"/>
        <color rgb="FF000000"/>
        <rFont val="Calibri"/>
        <family val="2"/>
      </rPr>
      <t xml:space="preserve">* 天翼云云上资源申请联调方案（Redis、Es、RabbitMQ、NFS）
* 数据迁移方案计划与任务拆分
* 切换与双活运行方案计划与任务拆分等</t>
    </r>
  </si>
  <si>
    <t/>
    <r>
      <rPr>
        <sz val="9.75"/>
        <color rgb="FF000000"/>
        <rFont val="Calibri"/>
        <family val="2"/>
      </rPr>
      <t xml:space="preserve">1.协同天翼云明确资源迁移范围
2.</t>
    </r>
    <r>
      <rPr>
        <b/>
        <sz val="9.75"/>
        <color rgb="FF000000"/>
        <rFont val="Calibri"/>
        <family val="2"/>
      </rPr>
      <t xml:space="preserve">北京5机器相关机器全部迁移到AZ1
</t>
    </r>
    <r>
      <rPr>
        <b/>
        <sz val="9.75"/>
        <color rgb="FFF54A45"/>
        <rFont val="Calibri"/>
        <family val="2"/>
      </rPr>
      <t>3.中间件、网络资源开通的时间点、时间段：需要加到整体计划里面</t>
    </r>
  </si>
  <si>
    <t/>
    <r>
      <rPr>
        <sz val="10.5"/>
        <color rgb="FF000000"/>
        <rFont val="Calibri"/>
        <family val="2"/>
      </rPr>
      <t>1.</t>
    </r>
    <r>
      <rPr>
        <sz val="10.5"/>
        <color rgb="FF000000"/>
        <rFont val="Calibri"/>
        <family val="2"/>
      </rPr>
      <t>功能满足项目要求</t>
    </r>
    <r>
      <rPr>
        <sz val="10.5"/>
        <color rgb="FF000000"/>
        <rFont val="Calibri"/>
        <family val="2"/>
      </rPr>
      <t>2.</t>
    </r>
    <r>
      <rPr>
        <sz val="10.5"/>
        <color rgb="FF000000"/>
        <rFont val="Calibri"/>
        <family val="2"/>
      </rPr>
      <t>性能满足项目要求</t>
    </r>
  </si>
  <si>
    <t/>
    <r>
      <rPr>
        <sz val="10.5"/>
        <color rgb="FF000000"/>
        <rFont val="Calibri"/>
        <family val="2"/>
      </rPr>
      <t>1.</t>
    </r>
    <r>
      <rPr>
        <sz val="10.5"/>
        <color rgb="FF000000"/>
        <rFont val="Calibri"/>
        <family val="2"/>
      </rPr>
      <t>双活整体方案设计文档</t>
    </r>
    <r>
      <rPr>
        <sz val="10.5"/>
        <color rgb="FF000000"/>
        <rFont val="Calibri"/>
        <family val="2"/>
      </rPr>
      <t>.doc</t>
    </r>
  </si>
  <si>
    <t/>
    <r>
      <rPr>
        <sz val="10.5"/>
        <color rgb="FF000000"/>
        <rFont val="Calibri"/>
        <family val="2"/>
      </rPr>
      <t>1.</t>
    </r>
    <r>
      <rPr>
        <sz val="10.5"/>
        <color rgb="FF000000"/>
        <rFont val="Calibri"/>
        <family val="2"/>
      </rPr>
      <t>文档满足按照项目计划时间</t>
    </r>
    <r>
      <rPr>
        <sz val="10.5"/>
        <color rgb="FF000000"/>
        <rFont val="Calibri"/>
        <family val="2"/>
      </rPr>
      <t>2.</t>
    </r>
    <r>
      <rPr>
        <sz val="10.5"/>
        <color rgb="FF000000"/>
        <rFont val="Calibri"/>
        <family val="2"/>
      </rPr>
      <t>文档相关建设指标、方案满足项目建设目标</t>
    </r>
  </si>
  <si>
    <t/>
    <r>
      <rPr>
        <sz val="10.5"/>
        <color rgb="FF000000"/>
        <rFont val="Calibri"/>
        <family val="2"/>
      </rPr>
      <t>1.</t>
    </r>
    <r>
      <rPr>
        <sz val="10.5"/>
        <color rgb="FF000000"/>
        <rFont val="Calibri"/>
        <family val="2"/>
      </rPr>
      <t>双中心验证测试报告</t>
    </r>
    <r>
      <rPr>
        <sz val="10.5"/>
        <color rgb="FF000000"/>
        <rFont val="Calibri"/>
        <family val="2"/>
      </rPr>
      <t>.doc</t>
    </r>
  </si>
  <si>
    <t/>
    <r>
      <rPr>
        <sz val="9.75"/>
        <color rgb="FF000000"/>
        <rFont val="Calibri"/>
        <family val="2"/>
      </rPr>
      <t>1、完成</t>
    </r>
    <r>
      <rPr>
        <b/>
        <sz val="9.75"/>
        <color rgb="FF000000"/>
        <rFont val="Calibri"/>
        <family val="2"/>
      </rPr>
      <t>整体建设计划编写（细化一下）</t>
    </r>
    <r>
      <rPr>
        <sz val="9.75"/>
        <color rgb="FF000000"/>
        <rFont val="Calibri"/>
        <family val="2"/>
      </rPr>
      <t>、相关资源协调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</si>
</sst>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yyyy/MM/dd"/>
    <numFmt numFmtId="165" formatCode="yyyy/MM/dd"/>
    <numFmt numFmtId="166" formatCode="yyyy/MM/dd"/>
    <numFmt numFmtId="167" formatCode="yyyy/MM/dd"/>
    <numFmt numFmtId="168" formatCode="yyyy/m/d"/>
    <numFmt numFmtId="169" formatCode="yyyy/m/d"/>
    <numFmt numFmtId="170" formatCode="yyyy/MM/dd"/>
    <numFmt numFmtId="171" formatCode="yyyy/MM/dd"/>
  </numFmts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373C43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F54A45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true" applyFont="true" applyNumberFormat="false" applyProtection="false" borderId="7" fillId="2" fontId="1" numFmtId="0" xfId="0">
      <alignment horizontal="left" vertical="center" wrapText="true"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true" applyProtection="false" borderId="10" fillId="0" fontId="3" numFmtId="165" xfId="0">
      <alignment horizontal="center" vertical="center"/>
    </xf>
    <xf applyAlignment="true" applyBorder="false" applyFill="false" applyFont="true" applyNumberFormat="true" applyProtection="false" borderId="11" fillId="0" fontId="4" numFmtId="166" xfId="0">
      <alignment horizontal="center" vertical="center"/>
    </xf>
    <xf applyAlignment="true" applyBorder="false" applyFill="true" applyFont="true" applyNumberFormat="false" applyProtection="false" borderId="12" fillId="3" fontId="5" numFmtId="0" xfId="0">
      <alignment horizontal="center" vertical="top" wrapText="true"/>
    </xf>
    <xf applyAlignment="true" applyBorder="false" applyFill="true" applyFont="true" applyNumberFormat="false" applyProtection="false" borderId="13" fillId="4" fontId="6" numFmtId="0" xfId="0">
      <alignment horizontal="center" vertical="top" wrapText="true"/>
    </xf>
    <xf applyAlignment="true" applyBorder="false" applyFill="true" applyFont="true" applyNumberFormat="true" applyProtection="false" borderId="14" fillId="5" fontId="5" numFmtId="167" xfId="0">
      <alignment horizontal="center" vertical="top" wrapText="true"/>
    </xf>
    <xf applyAlignment="true" applyBorder="false" applyFill="false" applyFont="true" applyNumberFormat="false" applyProtection="false" borderId="15" fillId="0" fontId="5" numFmtId="0" xfId="0">
      <alignment horizontal="left" vertical="center" wrapText="true"/>
    </xf>
    <xf applyAlignment="true" applyBorder="false" applyFill="false" applyFont="true" applyNumberFormat="false" applyProtection="false" borderId="16" fillId="0" fontId="1" numFmtId="0" xfId="0">
      <alignment horizontal="left" vertical="center"/>
    </xf>
    <xf applyAlignment="true" applyBorder="false" applyFill="true" applyFont="true" applyNumberFormat="false" applyProtection="false" borderId="17" fillId="6" fontId="5" numFmtId="0" xfId="0">
      <alignment horizontal="center" vertical="center"/>
    </xf>
    <xf applyAlignment="true" applyBorder="false" applyFill="true" applyFont="true" applyNumberFormat="false" applyProtection="false" borderId="18" fillId="7" fontId="5" numFmtId="0" xfId="0">
      <alignment horizontal="left" vertical="center"/>
    </xf>
    <xf applyAlignment="true" applyBorder="false" applyFill="true" applyFont="true" applyNumberFormat="false" applyProtection="false" borderId="19" fillId="8" fontId="1" numFmtId="0" xfId="0">
      <alignment horizontal="center" vertical="center"/>
    </xf>
    <xf applyAlignment="true" applyBorder="false" applyFill="true" applyFont="true" applyNumberFormat="false" applyProtection="false" borderId="20" fillId="9" fontId="1" numFmtId="0" xfId="0">
      <alignment horizontal="left" vertical="center"/>
    </xf>
    <xf applyAlignment="true" applyBorder="false" applyFill="false" applyFont="true" applyNumberFormat="false" applyProtection="false" borderId="21" fillId="0" fontId="7" numFmtId="0" xfId="0">
      <alignment horizontal="center" vertical="center" wrapText="true"/>
    </xf>
    <xf applyAlignment="true" applyBorder="false" applyFill="false" applyFont="true" applyNumberFormat="false" applyProtection="false" borderId="22" fillId="0" fontId="7" numFmtId="0" xfId="0">
      <alignment horizontal="left" vertical="center" wrapText="true"/>
    </xf>
    <xf applyAlignment="true" applyBorder="false" applyFill="false" applyFont="true" applyNumberFormat="true" applyProtection="false" borderId="23" fillId="0" fontId="7" numFmtId="168" xfId="0">
      <alignment horizontal="center" vertical="center" wrapText="true"/>
    </xf>
    <xf applyAlignment="true" applyBorder="false" applyFill="true" applyFont="true" applyNumberFormat="true" applyProtection="false" borderId="24" fillId="10" fontId="5" numFmtId="169" xfId="0">
      <alignment horizontal="center" vertical="top" wrapText="true"/>
    </xf>
    <xf applyAlignment="true" applyBorder="false" applyFill="false" applyFont="true" applyNumberFormat="false" applyProtection="false" borderId="25" fillId="0" fontId="8" numFmtId="0" xfId="0">
      <alignment horizontal="center" vertical="center" wrapText="true"/>
    </xf>
    <xf applyAlignment="true" applyBorder="false" applyFill="false" applyFont="true" applyNumberFormat="false" applyProtection="false" borderId="26" fillId="0" fontId="9" numFmtId="0" xfId="0">
      <alignment vertical="center" wrapText="true"/>
    </xf>
    <xf applyAlignment="true" applyBorder="false" applyFill="false" applyFont="true" applyNumberFormat="false" applyProtection="false" borderId="27" fillId="0" fontId="9" numFmtId="0" xfId="0">
      <alignment vertical="top" wrapText="true"/>
    </xf>
    <xf applyAlignment="true" applyBorder="false" applyFill="false" applyFont="true" applyNumberFormat="false" applyProtection="false" borderId="28" fillId="0" fontId="9" numFmtId="0" xfId="0">
      <alignment vertical="center" wrapText="true"/>
    </xf>
    <xf applyAlignment="true" applyBorder="false" applyFill="false" applyFont="true" applyNumberFormat="false" applyProtection="false" borderId="29" fillId="0" fontId="10" numFmtId="0" xfId="0">
      <alignment vertical="center" wrapText="true"/>
    </xf>
    <xf applyAlignment="true" applyBorder="false" applyFill="false" applyFont="true" applyNumberFormat="false" applyProtection="false" borderId="30" fillId="0" fontId="10" numFmtId="0" xfId="0">
      <alignment vertical="center" wrapText="true"/>
    </xf>
    <xf applyAlignment="true" applyBorder="false" applyFill="false" applyFont="true" applyNumberFormat="false" applyProtection="false" borderId="31" fillId="0" fontId="10" numFmtId="0" xfId="0">
      <alignment vertical="center"/>
    </xf>
    <xf applyAlignment="true" applyBorder="false" applyFill="false" applyFont="true" applyNumberFormat="false" applyProtection="false" borderId="32" fillId="0" fontId="10" numFmtId="0" xfId="0">
      <alignment vertical="top" wrapText="true"/>
    </xf>
    <xf applyAlignment="true" applyBorder="false" applyFill="false" applyFont="true" applyNumberFormat="false" applyProtection="false" borderId="33" fillId="0" fontId="9" numFmtId="0" xfId="0">
      <alignment vertical="top" wrapText="true"/>
    </xf>
    <xf applyAlignment="true" applyBorder="false" applyFill="true" applyFont="true" applyNumberFormat="false" applyProtection="false" borderId="34" fillId="11" fontId="1" numFmtId="0" xfId="0">
      <alignment vertical="center"/>
    </xf>
    <xf applyAlignment="true" applyBorder="false" applyFill="true" applyFont="true" applyNumberFormat="false" applyProtection="false" borderId="35" fillId="12" fontId="1" numFmtId="0" xfId="0">
      <alignment horizontal="center" vertical="center" wrapText="true"/>
    </xf>
    <xf applyAlignment="true" applyBorder="false" applyFill="true" applyFont="true" applyNumberFormat="false" applyProtection="false" borderId="36" fillId="13" fontId="1" numFmtId="0" xfId="0">
      <alignment horizontal="left" vertical="center" wrapText="true"/>
    </xf>
    <xf applyAlignment="true" applyBorder="false" applyFill="true" applyFont="true" applyNumberFormat="true" applyProtection="false" borderId="37" fillId="14" fontId="1" numFmtId="170" xfId="0">
      <alignment horizontal="center" vertical="center"/>
    </xf>
    <xf applyAlignment="true" applyBorder="false" applyFill="true" applyFont="true" applyNumberFormat="false" applyProtection="false" borderId="38" fillId="15" fontId="1" numFmtId="0" xfId="0">
      <alignment horizontal="center" vertical="center"/>
    </xf>
    <xf applyAlignment="true" applyBorder="false" applyFill="false" applyFont="true" applyNumberFormat="false" applyProtection="false" borderId="39" fillId="0" fontId="10" numFmtId="0" xfId="0">
      <alignment horizontal="center" vertical="center"/>
    </xf>
    <xf applyAlignment="true" applyBorder="false" applyFill="true" applyFont="true" applyNumberFormat="true" applyProtection="false" borderId="40" fillId="16" fontId="1" numFmtId="171" xfId="0">
      <alignment horizontal="center" vertical="center"/>
    </xf>
    <xf applyAlignment="true" applyBorder="false" applyFill="false" applyFont="true" applyNumberFormat="false" applyProtection="false" borderId="41" fillId="0" fontId="5" numFmtId="0" xfId="0">
      <alignment horizontal="center" vertical="center" wrapText="true"/>
    </xf>
    <xf applyAlignment="true" applyBorder="false" applyFill="false" applyFont="true" applyNumberFormat="false" applyProtection="false" borderId="42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4"/>
    <col collapsed="false" customWidth="true" hidden="false" max="3" min="3" style="0" width="14"/>
    <col collapsed="false" customWidth="true" hidden="false" max="4" min="4" style="0" width="63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1"/>
    <col collapsed="false" customWidth="true" hidden="false" max="9" min="9" style="0" width="6"/>
    <col collapsed="false" customWidth="true" hidden="false" max="10" min="10" style="0" width="10"/>
    <col collapsed="false" customWidth="true" hidden="false" max="11" min="11" style="0" width="34"/>
    <col collapsed="false" customWidth="true" hidden="false" max="12" min="12" style="0" width="35"/>
  </cols>
  <sheetData>
    <row r="1">
      <c r="A1" s="12" t="str">
        <v>分类</v>
      </c>
      <c r="B1" s="12" t="str">
        <v>功能调整点</v>
      </c>
      <c r="C1" s="12" t="str">
        <v>前置条件</v>
      </c>
      <c r="D1" s="12" t="str">
        <v>详细内容</v>
      </c>
      <c r="E1" s="14" t="str">
        <v>开始时间</v>
      </c>
      <c r="F1" s="14" t="str">
        <v>完成时间</v>
      </c>
      <c r="G1" s="12" t="str">
        <v>工作量预估</v>
      </c>
      <c r="H1" s="12" t="str">
        <v>负责人</v>
      </c>
      <c r="I1" s="12" t="str">
        <v>负责方</v>
      </c>
      <c r="J1" s="12" t="str">
        <v>状态</v>
      </c>
      <c r="K1" s="13" t="str">
        <v>备注(交付物覆盖)</v>
      </c>
      <c r="L1" s="13" t="str">
        <v>业务影响范围</v>
      </c>
    </row>
    <row r="2">
      <c r="A2" s="1" t="str">
        <v>天翼云迁移</v>
      </c>
      <c r="B2" s="5" t="str">
        <v>北京5资源迁移华北AZ1</v>
      </c>
      <c r="C2" s="1"/>
      <c r="D2" s="5" t="s">
        <v>2</v>
      </c>
      <c r="F2" s="10">
        <v>45768</v>
      </c>
      <c r="G2" s="3"/>
      <c r="H2" s="3"/>
      <c r="I2" s="3" t="str">
        <v>天翼云</v>
      </c>
      <c r="J2" s="3" t="str">
        <v>未开始</v>
      </c>
      <c r="K2" s="9" t="str">
        <v>1.双活整体方案设计文档.doc
2.数据迁移方案.docx
3.数据迁移计划排期.excel</v>
      </c>
      <c r="L2" s="8"/>
    </row>
    <row r="3">
      <c r="A3" s="1" t="str">
        <v>方案整理</v>
      </c>
      <c r="B3" s="5" t="str">
        <v>整体双中心双活计划</v>
      </c>
      <c r="C3" s="1"/>
      <c r="D3" s="5" t="s">
        <v>1</v>
      </c>
      <c r="E3" s="11">
        <v>45740</v>
      </c>
      <c r="F3" s="10">
        <f>WORKDAY.INTL(E3,G3)</f>
      </c>
      <c r="G3" s="3">
        <v>10</v>
      </c>
      <c r="H3" s="3" t="str">
        <v>陈亚男</v>
      </c>
      <c r="I3" s="3" t="str">
        <v>讯飞</v>
      </c>
      <c r="J3" s="3" t="str">
        <v>进行中</v>
      </c>
      <c r="K3" s="9"/>
      <c r="L3" s="8"/>
    </row>
    <row r="4">
      <c r="A4" s="1"/>
      <c r="B4" s="5" t="str">
        <v>整体双中心双活计划</v>
      </c>
      <c r="C4" s="1"/>
      <c r="D4" s="5" t="str">
        <v>1.完成建设计划内部评审与讨论
2.相关研发、测试、实施人力资源协调</v>
      </c>
      <c r="E4" s="2">
        <f>F3</f>
      </c>
      <c r="F4" s="10">
        <f>WORKDAY.INTL(E4,G4)</f>
      </c>
      <c r="G4" s="3">
        <v>5</v>
      </c>
      <c r="H4" s="3" t="str">
        <v>陈亚男</v>
      </c>
      <c r="I4" s="3" t="str">
        <v>讯飞</v>
      </c>
      <c r="J4" s="3" t="str">
        <v>进行中</v>
      </c>
      <c r="K4" s="9"/>
      <c r="L4" s="8"/>
    </row>
    <row r="5">
      <c r="A5" s="1"/>
      <c r="B5" s="5" t="str">
        <v>详细方案设计</v>
      </c>
      <c r="C5" s="1"/>
      <c r="D5" s="5" t="str">
        <v>1.完成现场双活中心部署方案详细方案设计
2.完成华北AZ1部署视图、云上中间件部署设计
3.完成华北AZ2双活部署规划设计与任务拆分
4.完成AZ1与AZ2组网方案、切换方案设计</v>
      </c>
      <c r="E5" s="2">
        <f>F4</f>
      </c>
      <c r="F5" s="10">
        <f>WORKDAY.INTL(E5,G5)</f>
      </c>
      <c r="G5" s="3">
        <v>10</v>
      </c>
      <c r="H5" s="3" t="str">
        <v>陈亚男</v>
      </c>
      <c r="I5" s="3" t="str">
        <v>讯飞</v>
      </c>
      <c r="J5" s="3" t="str">
        <v>未开始</v>
      </c>
      <c r="K5" s="9" t="str">
        <v>1.双活网络架构图.eddx
2.双活服务部署图.eddx</v>
      </c>
      <c r="L5" s="8"/>
    </row>
    <row r="6">
      <c r="A6" s="1" t="str">
        <v>方案评审</v>
      </c>
      <c r="B6" s="5" t="str">
        <v>详细方案评审与优化</v>
      </c>
      <c r="C6" s="1">
        <v>4</v>
      </c>
      <c r="D6" s="5" t="str">
        <v>1.双活中心部署方案详细方案设计评审与讨论</v>
      </c>
      <c r="E6" s="2">
        <f>F5</f>
      </c>
      <c r="F6" s="2">
        <f>WORKDAY.INTL(E6,G6)</f>
      </c>
      <c r="G6" s="3">
        <v>10</v>
      </c>
      <c r="H6" s="3" t="str">
        <v>陈亚男</v>
      </c>
      <c r="I6" s="3" t="str">
        <v>讯飞</v>
      </c>
      <c r="J6" s="3" t="str">
        <v>未开始</v>
      </c>
      <c r="K6" s="9" t="str">
        <v>1.双活整体方案设计文档（评审更新）.doc</v>
      </c>
      <c r="L6" s="8"/>
    </row>
    <row r="7">
      <c r="A7" s="1"/>
      <c r="B7" s="5" t="str">
        <v>详细方案评审与优化</v>
      </c>
      <c r="C7" s="1">
        <v>4</v>
      </c>
      <c r="D7" s="5" t="str">
        <v>1.华北AZ1部署视图、云上中间件部署评审与讨论</v>
      </c>
      <c r="E7" s="2">
        <f>F6</f>
      </c>
      <c r="F7" s="2">
        <f>WORKDAY.INTL(E7,G7)</f>
      </c>
      <c r="G7" s="3">
        <v>5</v>
      </c>
      <c r="H7" s="3" t="str">
        <v>陈亚男</v>
      </c>
      <c r="I7" s="3" t="str">
        <v>讯飞</v>
      </c>
      <c r="J7" s="3" t="str">
        <v>未开始</v>
      </c>
      <c r="L7" s="8"/>
    </row>
    <row r="8">
      <c r="A8" s="1"/>
      <c r="B8" s="5" t="str">
        <v>详细方案评审与优化</v>
      </c>
      <c r="C8" s="1">
        <v>4</v>
      </c>
      <c r="D8" s="5" t="str">
        <v>1.完成华北AZ2双活应用部署规划评审与讨论</v>
      </c>
      <c r="E8" s="2">
        <f>F7</f>
      </c>
      <c r="F8" s="2">
        <f>WORKDAY.INTL(E8,G8)</f>
      </c>
      <c r="G8" s="3">
        <v>5</v>
      </c>
      <c r="H8" s="3" t="str">
        <v>陈亚男</v>
      </c>
      <c r="I8" s="3" t="str">
        <v>讯飞</v>
      </c>
      <c r="J8" s="3" t="str">
        <v>未开始</v>
      </c>
      <c r="L8" s="8"/>
    </row>
    <row r="9">
      <c r="A9" s="1"/>
      <c r="B9" s="5" t="str">
        <v>详细方案评审与优化</v>
      </c>
      <c r="C9" s="1">
        <v>4</v>
      </c>
      <c r="D9" s="5" t="str">
        <v>1.完成AZ1与AZ2组网方案、切换方案评审</v>
      </c>
      <c r="E9" s="2">
        <f>F8</f>
      </c>
      <c r="F9" s="2">
        <f>WORKDAY.INTL(E9,G9)</f>
      </c>
      <c r="G9" s="3">
        <v>10</v>
      </c>
      <c r="H9" s="3" t="str">
        <v>陈亚男</v>
      </c>
      <c r="I9" s="3" t="str">
        <v>讯飞</v>
      </c>
      <c r="J9" s="3" t="str">
        <v>未开始</v>
      </c>
      <c r="L9" s="8"/>
    </row>
    <row r="10">
      <c r="A10" s="1" t="str">
        <v>方案执行</v>
      </c>
      <c r="B10" s="5" t="str">
        <v>详细方案方案执行跟踪</v>
      </c>
      <c r="C10" s="1"/>
      <c r="D10" s="15" t="str">
        <v>1.持续性任务：跟踪整体建设方案、进度</v>
      </c>
      <c r="E10" s="2">
        <f>F9</f>
      </c>
      <c r="F10" s="2">
        <f>WORKDAY.INTL(E10,G10)</f>
      </c>
      <c r="G10" s="3">
        <f>50*0.5</f>
      </c>
      <c r="H10" s="3" t="str">
        <v>陈亚男</v>
      </c>
      <c r="I10" s="3" t="str">
        <v>讯飞</v>
      </c>
      <c r="J10" s="3" t="str">
        <v>未开始</v>
      </c>
      <c r="L10" s="8"/>
    </row>
    <row r="11">
      <c r="A11" s="1" t="str">
        <v>资源评估与申请</v>
      </c>
      <c r="B11" s="5" t="str">
        <v>AZ2应用服务
AZ1与AZ2中间件规划</v>
      </c>
      <c r="C11" s="1" t="str">
        <v>2、3</v>
      </c>
      <c r="D11" s="5" t="str">
        <v>1.AZ1与AZ2公用中间件（Redis、Es、RabbitMQ、NFS）等资源需求评估、申请
2.AZ2双活应用服务资源评估、申请
3.公用中间件数据迁移方案、计划整理
4.公网入口（IM）、天翼云云上ELB负载申请</v>
      </c>
      <c r="E11" s="2">
        <f>F4</f>
      </c>
      <c r="F11" s="10">
        <f>WORKDAY.INTL(E11,G11)</f>
      </c>
      <c r="G11" s="3">
        <v>5</v>
      </c>
      <c r="H11" s="3" t="str">
        <v>陈亚男</v>
      </c>
      <c r="I11" s="3" t="str">
        <v>讯飞</v>
      </c>
      <c r="J11" s="3" t="str">
        <v>未开始</v>
      </c>
      <c r="K11" s="9" t="str">
        <v>1.网络、机器资源需求清单.excel</v>
      </c>
      <c r="L11" s="8"/>
    </row>
    <row r="12">
      <c r="A12" s="1" t="str">
        <v>网络关系梳理</v>
      </c>
      <c r="B12" s="5" t="str">
        <v>1.根据天翼云迁移后机器网络
2.进行网络关系梳理</v>
      </c>
      <c r="C12" s="1" t="str">
        <v>2、3</v>
      </c>
      <c r="D12" s="5" t="str">
        <v>1.梳理AZ2双活应用对外访问网络关系
2.梳理公用中间件对外访问网络关系</v>
      </c>
      <c r="E12" s="2">
        <f>F11</f>
      </c>
      <c r="F12" s="10">
        <f>WORKDAY.INTL(E12,G12)</f>
      </c>
      <c r="G12" s="3">
        <v>5</v>
      </c>
      <c r="H12" s="3" t="str">
        <v>陈亚男</v>
      </c>
      <c r="I12" s="3" t="str">
        <v>讯飞</v>
      </c>
      <c r="J12" s="3" t="str">
        <v>未开始</v>
      </c>
      <c r="K12" s="9"/>
      <c r="L12" s="8"/>
    </row>
    <row r="13">
      <c r="A13" s="1" t="str">
        <v>产品改造</v>
      </c>
      <c r="B13" s="5" t="str">
        <v>IM适配MQ改造</v>
      </c>
      <c r="C13" s="1" t="str">
        <v>2、3</v>
      </c>
      <c r="D13" s="5" t="str">
        <v>1.IM产品改造MQ适配天翼云云上MQ方案输出</v>
      </c>
      <c r="E13" s="2">
        <f>E5</f>
      </c>
      <c r="F13" s="2">
        <f>WORKDAY.INTL(E13,G13)</f>
      </c>
      <c r="G13" s="3">
        <v>10</v>
      </c>
      <c r="H13" s="3" t="str">
        <v>IM研测</v>
      </c>
      <c r="I13" s="3" t="str">
        <v>讯飞</v>
      </c>
      <c r="J13" s="3" t="str">
        <v>未开始</v>
      </c>
      <c r="K13" s="9" t="str">
        <v>1.应用改造方案.doc
2.应用改造排期清单.excel</v>
      </c>
      <c r="L13" s="8"/>
    </row>
    <row r="14">
      <c r="A14" s="1"/>
      <c r="B14" s="5" t="str">
        <v>IM适配MQ改造</v>
      </c>
      <c r="C14" s="1" t="str">
        <v>2、3</v>
      </c>
      <c r="D14" s="5" t="str">
        <v>1.IM产品改造MQ适配天翼云云上MQ方案评审</v>
      </c>
      <c r="E14" s="2">
        <f>F13</f>
      </c>
      <c r="F14" s="2">
        <f>WORKDAY.INTL(E14,G14)</f>
      </c>
      <c r="G14" s="3">
        <v>10</v>
      </c>
      <c r="H14" s="3" t="str">
        <v>IM研测</v>
      </c>
      <c r="I14" s="3" t="str">
        <v>讯飞</v>
      </c>
      <c r="J14" s="3" t="str">
        <v>未开始</v>
      </c>
      <c r="K14" s="9"/>
      <c r="L14" s="8"/>
    </row>
    <row r="15">
      <c r="A15" s="1"/>
      <c r="B15" s="5" t="str">
        <v>产品方案验证</v>
      </c>
      <c r="C15" s="1">
        <v>13</v>
      </c>
      <c r="D15" s="5" t="str">
        <v>1.IM产品改造MQ代码改造</v>
      </c>
      <c r="E15" s="2">
        <f>F14</f>
      </c>
      <c r="F15" s="10">
        <f>WORKDAY.INTL(E15,G15)</f>
      </c>
      <c r="G15" s="3">
        <v>20</v>
      </c>
      <c r="H15" s="3" t="str">
        <v>IM研测</v>
      </c>
      <c r="I15" s="3" t="str">
        <v>讯飞</v>
      </c>
      <c r="J15" s="3" t="str">
        <v>未开始</v>
      </c>
      <c r="K15" s="9"/>
      <c r="L15" s="8"/>
    </row>
    <row r="16">
      <c r="A16" s="1"/>
      <c r="B16" s="5" t="str">
        <v>产品方案调整</v>
      </c>
      <c r="C16" s="1">
        <v>14</v>
      </c>
      <c r="D16" s="5" t="str">
        <v>1.IM产品改造MQ代码测试</v>
      </c>
      <c r="E16" s="2">
        <f>F15</f>
      </c>
      <c r="F16" s="10">
        <f>WORKDAY.INTL(E16,G16)</f>
      </c>
      <c r="G16" s="3">
        <v>20</v>
      </c>
      <c r="H16" s="3" t="str">
        <v>IM研测</v>
      </c>
      <c r="I16" s="3" t="str">
        <v>讯飞</v>
      </c>
      <c r="J16" s="3" t="str">
        <v>未开始</v>
      </c>
      <c r="K16" s="9"/>
      <c r="L16" s="8"/>
    </row>
    <row r="17">
      <c r="A17" s="1" t="str">
        <v>语音系统改造</v>
      </c>
      <c r="B17" s="5" t="str">
        <v>AICC座席工作台</v>
      </c>
      <c r="C17" s="1" t="str">
        <v>2、天翼云迁移</v>
      </c>
      <c r="D17" s="5" t="str">
        <v>1.北京5迁移到AZ1后拉通</v>
      </c>
      <c r="E17" s="2">
        <f>F2</f>
      </c>
      <c r="F17" s="2">
        <f>WORKDAY.INTL(E17,G17)</f>
      </c>
      <c r="G17" s="3">
        <v>10</v>
      </c>
      <c r="H17" s="3" t="str">
        <v>技术支持2</v>
      </c>
      <c r="I17" s="3" t="str">
        <v>讯飞</v>
      </c>
      <c r="J17" s="3" t="str">
        <v>未开始</v>
      </c>
      <c r="K17" s="6" t="str">
        <v>1.AZ1拉通功能回归报告.docx</v>
      </c>
      <c r="L17" s="4"/>
    </row>
    <row r="18">
      <c r="A18" s="1"/>
      <c r="B18" s="5" t="str">
        <v>AICC座席工作台</v>
      </c>
      <c r="C18" s="1">
        <v>10</v>
      </c>
      <c r="D18" s="5" t="str">
        <v>2.AZ2部署应用服务</v>
      </c>
      <c r="E18" s="2">
        <f>F17</f>
      </c>
      <c r="F18" s="2">
        <f>WORKDAY.INTL(E18,G18)</f>
      </c>
      <c r="G18" s="3">
        <v>10</v>
      </c>
      <c r="H18" s="3" t="str">
        <v>技术支持2</v>
      </c>
      <c r="I18" s="3" t="str">
        <v>讯飞</v>
      </c>
      <c r="J18" s="3" t="str">
        <v>未开始</v>
      </c>
      <c r="K18" s="6"/>
      <c r="L18" s="4"/>
    </row>
    <row r="19">
      <c r="A19" s="1"/>
      <c r="B19" s="5" t="str">
        <v>AICC座席工作台</v>
      </c>
      <c r="C19" s="1">
        <v>17</v>
      </c>
      <c r="D19" s="5" t="str">
        <v>3.AZ2拉通测试</v>
      </c>
      <c r="E19" s="2">
        <f>F18</f>
      </c>
      <c r="F19" s="2">
        <f>WORKDAY.INTL(E19,G19)</f>
      </c>
      <c r="G19" s="3">
        <v>10</v>
      </c>
      <c r="H19" s="3" t="str">
        <v>技术支持2</v>
      </c>
      <c r="I19" s="3" t="str">
        <v>讯飞</v>
      </c>
      <c r="J19" s="3" t="str">
        <v>未开始</v>
      </c>
      <c r="K19" s="6"/>
      <c r="L19" s="4"/>
    </row>
    <row r="20">
      <c r="A20" s="1"/>
      <c r="B20" s="5" t="str">
        <v>软交换平台、语音机器人导航</v>
      </c>
      <c r="C20" s="1" t="str">
        <v>2、天翼云迁移</v>
      </c>
      <c r="D20" s="5" t="str">
        <v>1.北京5迁移到AZ1后拉通</v>
      </c>
      <c r="E20" s="2">
        <f>F2</f>
      </c>
      <c r="F20" s="2">
        <f>WORKDAY.INTL(E20,G20)</f>
      </c>
      <c r="G20" s="3">
        <v>10</v>
      </c>
      <c r="H20" s="3" t="str">
        <v>技术支持2</v>
      </c>
      <c r="I20" s="3" t="str">
        <v>讯飞</v>
      </c>
      <c r="J20" s="3" t="str">
        <v>未开始</v>
      </c>
      <c r="K20" s="6"/>
      <c r="L20" s="4"/>
    </row>
    <row r="21">
      <c r="A21" s="1"/>
      <c r="B21" s="5" t="str">
        <v>软交换平台、语音机器人导航</v>
      </c>
      <c r="C21" s="1">
        <v>10</v>
      </c>
      <c r="D21" s="5" t="str">
        <v>2.AZ2部署软交换、语音导航应用服务</v>
      </c>
      <c r="E21" s="2">
        <f>F20</f>
      </c>
      <c r="F21" s="2">
        <f>WORKDAY.INTL(E21,G21)</f>
      </c>
      <c r="G21" s="3">
        <v>10</v>
      </c>
      <c r="H21" s="3" t="str">
        <v>技术支持2</v>
      </c>
      <c r="I21" s="3" t="str">
        <v>讯飞</v>
      </c>
      <c r="J21" s="3" t="str">
        <v>未开始</v>
      </c>
      <c r="K21" s="6"/>
      <c r="L21" s="4"/>
    </row>
    <row r="22">
      <c r="A22" s="1"/>
      <c r="B22" s="5" t="str">
        <v>软交换平台、语音机器人导航</v>
      </c>
      <c r="C22" s="1">
        <v>20</v>
      </c>
      <c r="D22" s="5" t="str">
        <v>3.AZ2拉通测试</v>
      </c>
      <c r="E22" s="2">
        <f>F21</f>
      </c>
      <c r="F22" s="2">
        <f>WORKDAY.INTL(E22,G22)</f>
      </c>
      <c r="G22" s="3">
        <v>10</v>
      </c>
      <c r="H22" s="3" t="str">
        <v>技术支持2</v>
      </c>
      <c r="I22" s="3" t="str">
        <v>讯飞</v>
      </c>
      <c r="J22" s="3" t="str">
        <v>未开始</v>
      </c>
      <c r="K22" s="6"/>
      <c r="L22" s="4"/>
    </row>
    <row r="23">
      <c r="A23" s="1" t="str">
        <v>在线系统改造</v>
      </c>
      <c r="B23" s="5" t="str">
        <v>IM文字客服、文字客服机器人</v>
      </c>
      <c r="C23" s="1" t="str">
        <v>2、天翼云迁移</v>
      </c>
      <c r="D23" s="5" t="str">
        <v>1.北京5迁移到AZ1后拉通</v>
      </c>
      <c r="E23" s="2">
        <f>F2</f>
      </c>
      <c r="F23" s="2">
        <f>WORKDAY.INTL(E23,G23)</f>
      </c>
      <c r="G23" s="3">
        <v>10</v>
      </c>
      <c r="H23" s="3" t="str">
        <v>技术支持2</v>
      </c>
      <c r="I23" s="3" t="str">
        <v>讯飞</v>
      </c>
      <c r="J23" s="3" t="str">
        <v>未开始</v>
      </c>
      <c r="K23" s="6"/>
      <c r="L23" s="4"/>
    </row>
    <row r="24">
      <c r="A24" s="1"/>
      <c r="B24" s="5" t="str">
        <v>IM文字客服、文字客服机器人</v>
      </c>
      <c r="C24" s="1">
        <v>10</v>
      </c>
      <c r="D24" s="5" t="str">
        <v>2.AZ2部署IM以及文字客服应用服务</v>
      </c>
      <c r="E24" s="2">
        <f>F23</f>
      </c>
      <c r="F24" s="2">
        <f>WORKDAY.INTL(E24,G24)</f>
      </c>
      <c r="G24" s="3">
        <v>10</v>
      </c>
      <c r="H24" s="3" t="str">
        <v>技术支持2</v>
      </c>
      <c r="I24" s="3" t="str">
        <v>讯飞</v>
      </c>
      <c r="J24" s="3" t="str">
        <v>未开始</v>
      </c>
      <c r="K24" s="6"/>
      <c r="L24" s="4"/>
    </row>
    <row r="25">
      <c r="A25" s="1"/>
      <c r="B25" s="5" t="str">
        <v>IM文字客服、文字客服机器人</v>
      </c>
      <c r="C25" s="1">
        <v>23</v>
      </c>
      <c r="D25" s="5" t="str">
        <v>3.AZ2拉通测试</v>
      </c>
      <c r="E25" s="2">
        <f>F24</f>
      </c>
      <c r="F25" s="2">
        <f>WORKDAY.INTL(E25,G25)</f>
      </c>
      <c r="G25" s="3">
        <v>10</v>
      </c>
      <c r="H25" s="3" t="str">
        <v>技术支持2</v>
      </c>
      <c r="I25" s="3" t="str">
        <v>讯飞</v>
      </c>
      <c r="J25" s="3" t="str">
        <v>未开始</v>
      </c>
      <c r="K25" s="6"/>
      <c r="L25" s="4"/>
    </row>
    <row r="26">
      <c r="A26" s="1" t="str">
        <v>用户权限改造</v>
      </c>
      <c r="B26" s="5" t="str">
        <v>UAP</v>
      </c>
      <c r="C26" s="1" t="str">
        <v>2、天翼云迁移</v>
      </c>
      <c r="D26" s="5" t="str">
        <v>1.北京5迁移到AZ1后拉通</v>
      </c>
      <c r="E26" s="2">
        <f>F2</f>
      </c>
      <c r="F26" s="2">
        <f>WORKDAY.INTL(E26,G26)</f>
      </c>
      <c r="G26" s="3">
        <v>10</v>
      </c>
      <c r="H26" s="3" t="str">
        <v>技术支持1</v>
      </c>
      <c r="I26" s="3" t="str">
        <v>讯飞</v>
      </c>
      <c r="J26" s="3" t="str">
        <v>未开始</v>
      </c>
      <c r="K26" s="6"/>
      <c r="L26" s="4"/>
    </row>
    <row r="27">
      <c r="A27" s="1"/>
      <c r="B27" s="5" t="str">
        <v>UAP</v>
      </c>
      <c r="C27" s="1">
        <v>10</v>
      </c>
      <c r="D27" s="5" t="str">
        <v>2.AZ2部署UAP应用服务</v>
      </c>
      <c r="E27" s="2">
        <f>F26</f>
      </c>
      <c r="F27" s="2">
        <f>WORKDAY.INTL(E27,G27)</f>
      </c>
      <c r="G27" s="3">
        <v>10</v>
      </c>
      <c r="H27" s="3" t="str">
        <v>技术支持1</v>
      </c>
      <c r="I27" s="3" t="str">
        <v>讯飞</v>
      </c>
      <c r="J27" s="3" t="str">
        <v>未开始</v>
      </c>
      <c r="K27" s="6"/>
      <c r="L27" s="4"/>
    </row>
    <row r="28">
      <c r="A28" s="1"/>
      <c r="B28" s="5" t="str">
        <v>UAP</v>
      </c>
      <c r="C28" s="1">
        <v>36</v>
      </c>
      <c r="D28" s="5" t="str">
        <v>3.AZ2拉通测试</v>
      </c>
      <c r="E28" s="2">
        <f>F27</f>
      </c>
      <c r="F28" s="2">
        <f>WORKDAY.INTL(E28,G28)</f>
      </c>
      <c r="G28" s="3">
        <v>10</v>
      </c>
      <c r="H28" s="3" t="str">
        <v>技术支持1</v>
      </c>
      <c r="I28" s="3" t="str">
        <v>讯飞</v>
      </c>
      <c r="J28" s="3" t="str">
        <v>未开始</v>
      </c>
      <c r="K28" s="6"/>
      <c r="L28" s="4"/>
    </row>
    <row customHeight="true" ht="19" r="29">
      <c r="A29" s="1" t="str">
        <v>单中心应用拉通</v>
      </c>
      <c r="B29" s="5" t="str">
        <v>座席助手AZ1主中心拉通</v>
      </c>
      <c r="C29" s="1" t="str">
        <v>2、天翼云迁移</v>
      </c>
      <c r="D29" s="5"/>
      <c r="E29" s="2">
        <f>F2</f>
      </c>
      <c r="F29" s="2">
        <f>WORKDAY.INTL(E29,G29)</f>
      </c>
      <c r="G29" s="3">
        <v>15</v>
      </c>
      <c r="H29" s="3" t="str">
        <v>技术支持1</v>
      </c>
      <c r="I29" s="3" t="str">
        <v>讯飞</v>
      </c>
      <c r="J29" s="3" t="str">
        <v>未开始</v>
      </c>
      <c r="K29" s="6"/>
      <c r="L29" s="4"/>
    </row>
    <row customHeight="true" ht="19" r="30">
      <c r="A30" s="1"/>
      <c r="B30" s="5" t="str">
        <v>人工质检AZ1主中心拉通</v>
      </c>
      <c r="C30" s="1"/>
      <c r="D30" s="5"/>
      <c r="E30" s="2">
        <f>F2</f>
      </c>
      <c r="F30" s="2">
        <f>WORKDAY.INTL(E30,G30)</f>
      </c>
      <c r="G30" s="3">
        <v>15</v>
      </c>
      <c r="H30" s="3" t="str">
        <v>技术支持1</v>
      </c>
      <c r="I30" s="3" t="str">
        <v>讯飞</v>
      </c>
      <c r="J30" s="3" t="str">
        <v>未开始</v>
      </c>
      <c r="K30" s="6"/>
      <c r="L30" s="4"/>
    </row>
    <row customHeight="true" ht="19" r="31">
      <c r="A31" s="1"/>
      <c r="B31" s="5" t="str">
        <v>智能质检AZ1主中心拉通</v>
      </c>
      <c r="C31" s="1"/>
      <c r="D31" s="5"/>
      <c r="E31" s="2">
        <f>F2</f>
      </c>
      <c r="F31" s="2">
        <f>WORKDAY.INTL(E31,G31)</f>
      </c>
      <c r="G31" s="3">
        <v>15</v>
      </c>
      <c r="H31" s="3" t="str">
        <v>技术支持1</v>
      </c>
      <c r="I31" s="3" t="str">
        <v>讯飞</v>
      </c>
      <c r="J31" s="3" t="str">
        <v>未开始</v>
      </c>
      <c r="K31" s="6"/>
      <c r="L31" s="4"/>
    </row>
    <row customHeight="true" ht="19" r="32">
      <c r="A32" s="1"/>
      <c r="B32" s="5" t="str">
        <v>数据能力平台AZ1主中心拉通</v>
      </c>
      <c r="C32" s="1"/>
      <c r="D32" s="5"/>
      <c r="E32" s="2">
        <f>F2</f>
      </c>
      <c r="F32" s="2">
        <f>WORKDAY.INTL(E32,G32)</f>
      </c>
      <c r="G32" s="3">
        <v>15</v>
      </c>
      <c r="H32" s="3" t="str">
        <v>技术支持1</v>
      </c>
      <c r="I32" s="3" t="str">
        <v>讯飞</v>
      </c>
      <c r="J32" s="3" t="str">
        <v>未开始</v>
      </c>
      <c r="K32" s="6"/>
      <c r="L32" s="4"/>
    </row>
    <row customHeight="true" ht="19" r="33">
      <c r="A33" s="1"/>
      <c r="B33" s="5" t="str">
        <v>智能外呼AZ1主中心拉通</v>
      </c>
      <c r="C33" s="1"/>
      <c r="D33" s="5"/>
      <c r="E33" s="2">
        <f>F2</f>
      </c>
      <c r="F33" s="2">
        <f>WORKDAY.INTL(E33,G33)</f>
      </c>
      <c r="G33" s="3">
        <v>15</v>
      </c>
      <c r="H33" s="3" t="str">
        <v>技术支持1</v>
      </c>
      <c r="I33" s="3" t="str">
        <v>讯飞</v>
      </c>
      <c r="J33" s="3" t="str">
        <v>未开始</v>
      </c>
      <c r="K33" s="6"/>
      <c r="L33" s="4"/>
    </row>
    <row customHeight="true" ht="19" r="34">
      <c r="A34" s="1"/>
      <c r="B34" s="5" t="str">
        <v>AI能力AZ1主中心拉通</v>
      </c>
      <c r="C34" s="1"/>
      <c r="D34" s="5"/>
      <c r="E34" s="2">
        <f>F2</f>
      </c>
      <c r="F34" s="2">
        <f>WORKDAY.INTL(E34,G34)</f>
      </c>
      <c r="G34" s="3">
        <v>15</v>
      </c>
      <c r="H34" s="3" t="str">
        <v>技术支持1</v>
      </c>
      <c r="I34" s="3" t="str">
        <v>讯飞</v>
      </c>
      <c r="J34" s="3" t="str">
        <v>未开始</v>
      </c>
      <c r="K34" s="6"/>
      <c r="L34" s="4"/>
    </row>
    <row r="35">
      <c r="A35" s="1" t="str">
        <v>存储系统迁移改造</v>
      </c>
      <c r="B35" s="5" t="str">
        <v>自建MySQ迁移</v>
      </c>
      <c r="C35" s="1">
        <v>10</v>
      </c>
      <c r="D35" s="5" t="str">
        <v>1.自建MySQL数据迁移到天翼云MySQL</v>
      </c>
      <c r="E35" s="2">
        <f>F2</f>
      </c>
      <c r="F35" s="2">
        <f>WORKDAY.INTL(E35,G35)</f>
      </c>
      <c r="G35" s="3">
        <v>10</v>
      </c>
      <c r="H35" s="3" t="str">
        <v>技术支持1</v>
      </c>
      <c r="I35" s="3" t="str">
        <v>讯飞</v>
      </c>
      <c r="J35" s="3" t="str">
        <v>未开始</v>
      </c>
      <c r="K35" s="9" t="str">
        <v>1.迁移后数据检验比对报告.doc</v>
      </c>
      <c r="L35" s="8"/>
    </row>
    <row r="36">
      <c r="A36" s="1"/>
      <c r="B36" s="5" t="str">
        <v>自建Minio迁移</v>
      </c>
      <c r="C36" s="1">
        <v>10</v>
      </c>
      <c r="D36" s="5" t="str">
        <v>1.自建Minio数据迁移到天翼云S3</v>
      </c>
      <c r="E36" s="2">
        <f>F35</f>
      </c>
      <c r="F36" s="2">
        <f>WORKDAY.INTL(E36,G36)</f>
      </c>
      <c r="G36" s="3">
        <v>10</v>
      </c>
      <c r="H36" s="3" t="str">
        <v>技术支持1</v>
      </c>
      <c r="I36" s="3" t="str">
        <v>讯飞</v>
      </c>
      <c r="J36" s="3" t="str">
        <v>未开始</v>
      </c>
      <c r="L36" s="8"/>
    </row>
    <row r="37">
      <c r="A37" s="1"/>
      <c r="B37" s="5" t="str">
        <v>自建ES迁移</v>
      </c>
      <c r="C37" s="1">
        <v>10</v>
      </c>
      <c r="D37" s="7" t="str">
        <v>1.自建ES数据迁移到天翼云ES
2.版本调整到7.6.2验证：IM、言知、AICC、助手</v>
      </c>
      <c r="E37" s="2">
        <f>F36</f>
      </c>
      <c r="F37" s="2">
        <f>WORKDAY.INTL(E37,G37)</f>
      </c>
      <c r="G37" s="3">
        <v>15</v>
      </c>
      <c r="H37" s="3" t="str">
        <v>技术支持1</v>
      </c>
      <c r="I37" s="3" t="str">
        <v>讯飞</v>
      </c>
      <c r="J37" s="3" t="str">
        <v>未开始</v>
      </c>
      <c r="L37" s="8"/>
    </row>
    <row r="38">
      <c r="A38" s="1"/>
      <c r="B38" s="5" t="str">
        <v>自建NFS迁移</v>
      </c>
      <c r="C38" s="1">
        <v>10</v>
      </c>
      <c r="D38" s="7" t="str">
        <v>1.自建NFS数据迁移到天翼云S3
2.NFS迁移到S3改造：智能质检、呼叫平台、AICC、IM</v>
      </c>
      <c r="E38" s="2">
        <f>F37</f>
      </c>
      <c r="F38" s="2">
        <f>WORKDAY.INTL(E38,G38)</f>
      </c>
      <c r="G38" s="3">
        <v>20</v>
      </c>
      <c r="H38" s="3" t="str">
        <v>技术支持1</v>
      </c>
      <c r="I38" s="3" t="str">
        <v>讯飞</v>
      </c>
      <c r="J38" s="3" t="str">
        <v>未开始</v>
      </c>
      <c r="L38" s="8"/>
    </row>
    <row r="39">
      <c r="A39" s="1" t="str">
        <v>中间件同步工具研发</v>
      </c>
      <c r="B39" s="5" t="str">
        <v>天翼云无法上云中间件改造</v>
      </c>
      <c r="C39" s="1">
        <v>4</v>
      </c>
      <c r="D39" s="5" t="str">
        <v>1.Flume\Zookeeper中间件双中心方案计划输出</v>
      </c>
      <c r="E39" s="2">
        <f>F2</f>
      </c>
      <c r="F39" s="2">
        <f>WORKDAY.INTL(E39,G39)</f>
      </c>
      <c r="G39" s="3">
        <v>10</v>
      </c>
      <c r="H39" s="3" t="str">
        <v>语音导航研测</v>
      </c>
      <c r="I39" s="3" t="str">
        <v>讯飞</v>
      </c>
      <c r="J39" s="3" t="str">
        <v>未开始</v>
      </c>
      <c r="L39" s="8"/>
    </row>
    <row r="40">
      <c r="A40" s="1"/>
      <c r="B40" s="5" t="str">
        <v>天翼云无法上云中间件改造</v>
      </c>
      <c r="C40" s="1">
        <v>32</v>
      </c>
      <c r="D40" s="5" t="str">
        <v>2.语音机器人适配：Flume\Zookeeper中间件双中心方案计划输出</v>
      </c>
      <c r="E40" s="2">
        <f>F39</f>
      </c>
      <c r="F40" s="2">
        <f>WORKDAY.INTL(E40,G40)</f>
      </c>
      <c r="G40" s="3">
        <v>10</v>
      </c>
      <c r="H40" s="3" t="str">
        <v>语音导航研测</v>
      </c>
      <c r="I40" s="3" t="str">
        <v>讯飞</v>
      </c>
      <c r="J40" s="3" t="str">
        <v>未开始</v>
      </c>
      <c r="K40" s="9" t="str">
        <v>1.中间件改造方案.doc
2.中间件改造排期清单.excel</v>
      </c>
      <c r="L40" s="8"/>
    </row>
    <row r="41">
      <c r="A41" s="1"/>
      <c r="B41" s="5" t="str">
        <v>天翼云无法上云中间件改造</v>
      </c>
      <c r="C41" s="1">
        <v>33</v>
      </c>
      <c r="D41" s="5" t="str">
        <v>3.语音机器人适配：Flume\Zookeeper中间件双中心测试</v>
      </c>
      <c r="E41" s="2">
        <f>F40</f>
      </c>
      <c r="F41" s="2">
        <f>WORKDAY.INTL(E41,G41)</f>
      </c>
      <c r="G41" s="3">
        <v>10</v>
      </c>
      <c r="H41" s="3" t="str">
        <v>语音导航研测</v>
      </c>
      <c r="I41" s="3" t="str">
        <v>讯飞</v>
      </c>
      <c r="J41" s="3" t="str">
        <v>未开始</v>
      </c>
      <c r="L41" s="8"/>
    </row>
    <row r="42">
      <c r="A42" s="1"/>
      <c r="B42" s="5" t="str">
        <v>天翼云无法上云中间件改造</v>
      </c>
      <c r="C42" s="1">
        <v>34</v>
      </c>
      <c r="D42" s="5" t="str">
        <v>4.语音机器人适配：中间件双中心性能</v>
      </c>
      <c r="E42" s="2">
        <f>F41</f>
      </c>
      <c r="F42" s="2">
        <f>WORKDAY.INTL(E42,G42)</f>
      </c>
      <c r="G42" s="3">
        <v>10</v>
      </c>
      <c r="H42" s="3" t="str">
        <v>语音导航研测</v>
      </c>
      <c r="I42" s="3" t="str">
        <v>讯飞</v>
      </c>
      <c r="J42" s="3" t="str">
        <v>未开始</v>
      </c>
      <c r="L42" s="8"/>
    </row>
    <row r="43">
      <c r="A43" s="1" t="str">
        <v>AZ1主中心环境拉通</v>
      </c>
      <c r="B43" s="5" t="str">
        <v>迁移、拉通应用服务</v>
      </c>
      <c r="C43" s="1">
        <v>35</v>
      </c>
      <c r="D43" s="5" t="str">
        <v>1.拉通北京5迁移到AZ1的应用环境
2.拉通AZ1的连接前后的应用环境</v>
      </c>
      <c r="E43" s="2">
        <f>F38</f>
      </c>
      <c r="F43" s="2">
        <f>WORKDAY.INTL(E43,G43)</f>
      </c>
      <c r="G43" s="3">
        <v>10</v>
      </c>
      <c r="H43" s="3" t="str">
        <v>技术支持2</v>
      </c>
      <c r="I43" s="3" t="str">
        <v>讯飞</v>
      </c>
      <c r="J43" s="3" t="str">
        <v>未开始</v>
      </c>
      <c r="K43" s="9" t="str">
        <v>1.AZ2与AZ1功能回归报告.docx</v>
      </c>
      <c r="L43" s="8"/>
    </row>
    <row r="44">
      <c r="A44" s="1" t="str">
        <v>AZ2中心环境拉通</v>
      </c>
      <c r="B44" s="5" t="str">
        <v>搭建、拉通应用服务</v>
      </c>
      <c r="C44" s="1">
        <v>31</v>
      </c>
      <c r="D44" s="5" t="str">
        <v>1.拉通新搭建AZ2的应用环境
2.拉通AZ2的连接前后的应用环境</v>
      </c>
      <c r="E44" s="2">
        <f>F38</f>
      </c>
      <c r="F44" s="2">
        <f>WORKDAY.INTL(E44,G44)</f>
      </c>
      <c r="G44" s="3">
        <v>9</v>
      </c>
      <c r="H44" s="3" t="str">
        <v>技术支持2</v>
      </c>
      <c r="I44" s="3" t="str">
        <v>讯飞</v>
      </c>
      <c r="J44" s="3" t="str">
        <v>未开始</v>
      </c>
      <c r="L44" s="8"/>
    </row>
    <row r="45">
      <c r="A45" s="3" t="str">
        <v>北京5迁移AZ1</v>
      </c>
      <c r="B45" s="9" t="str">
        <v>主中心中心切换</v>
      </c>
      <c r="C45" s="3">
        <v>37</v>
      </c>
      <c r="D45" s="8" t="str">
        <v>1.主中心从北京5切换到华北AZ1</v>
      </c>
      <c r="E45" s="10">
        <f>F44</f>
      </c>
      <c r="F45" s="10">
        <f>E45+G45</f>
      </c>
      <c r="G45" s="3">
        <v>2</v>
      </c>
      <c r="H45" s="3" t="str">
        <v>技术支持2</v>
      </c>
      <c r="I45" s="3" t="str">
        <v>讯飞</v>
      </c>
      <c r="J45" s="3" t="str">
        <v>未开始</v>
      </c>
      <c r="K45" s="6" t="str">
        <v>1.AZ1业务运行周报.docx</v>
      </c>
      <c r="L45" s="4" t="str">
        <v>1.北京5切换到华北AZ1
2.最长存在8小时的业务中断：所有业务不可用</v>
      </c>
    </row>
    <row r="46">
      <c r="A46" s="3"/>
      <c r="B46" s="9" t="str">
        <v>主中心中心AZ1运行</v>
      </c>
      <c r="C46" s="3">
        <v>38</v>
      </c>
      <c r="D46" s="8" t="str">
        <v>1.主中心AZ1正式运行
2.主中心切换后验证，环境调整</v>
      </c>
      <c r="E46" s="2">
        <f>F45</f>
      </c>
      <c r="F46" s="2">
        <f>WORKDAY.INTL(E46,G46)</f>
      </c>
      <c r="G46" s="3">
        <v>9</v>
      </c>
      <c r="H46" s="3" t="str">
        <v>技术支持2</v>
      </c>
      <c r="I46" s="3" t="str">
        <v>讯飞</v>
      </c>
      <c r="J46" s="3" t="str">
        <v>未开始</v>
      </c>
      <c r="K46" s="6"/>
      <c r="L46" s="4"/>
    </row>
    <row r="47">
      <c r="A47" s="3" t="str">
        <v>AZ1与AZ2</v>
      </c>
      <c r="B47" s="9" t="str">
        <v>双中心切换运行</v>
      </c>
      <c r="C47" s="3">
        <v>37</v>
      </c>
      <c r="D47" s="8" t="str">
        <v>1.AZ1\AZ2双中心组网
2.双中心座席负载调整
3.双中心网关路由调整</v>
      </c>
      <c r="E47" s="2">
        <f>F43</f>
      </c>
      <c r="F47" s="2">
        <f>WORKDAY.INTL(E47,G47)</f>
      </c>
      <c r="G47" s="3">
        <v>9</v>
      </c>
      <c r="H47" s="3" t="str">
        <v>技术支持2</v>
      </c>
      <c r="I47" s="3" t="str">
        <v>讯飞</v>
      </c>
      <c r="J47" s="3" t="str">
        <v>未开始</v>
      </c>
      <c r="K47" s="6" t="str">
        <v>1.AZ2业务运行周报.docx</v>
      </c>
      <c r="L47" s="4" t="str">
        <v>1.华北AZ1与AZ2组网
2.最长存在8小时的业务中断：语音呼叫平台、语音机器人导航、IM人人客服、文字客服机器人、UAP用户登录双中心不可用</v>
      </c>
    </row>
    <row r="48">
      <c r="A48" s="3"/>
      <c r="C48" s="3">
        <v>40</v>
      </c>
      <c r="D48" s="8" t="str">
        <v>1.双中心切换，入口切换为天翼云ELB</v>
      </c>
      <c r="E48" s="10">
        <f>F47</f>
      </c>
      <c r="F48" s="10">
        <f>E48+G48</f>
      </c>
      <c r="G48" s="3">
        <v>2</v>
      </c>
      <c r="H48" s="3" t="str">
        <v>技术支持2</v>
      </c>
      <c r="I48" s="3" t="str">
        <v>讯飞</v>
      </c>
      <c r="J48" s="3" t="str">
        <v>未开始</v>
      </c>
      <c r="K48" s="6"/>
      <c r="L48" s="4"/>
    </row>
    <row r="49">
      <c r="A49" s="3"/>
      <c r="C49" s="3">
        <v>41</v>
      </c>
      <c r="D49" s="8" t="str">
        <v>1.主中心AZ1正式运行
2.主中心切换后验证，环境调整</v>
      </c>
      <c r="E49" s="2">
        <f>F48</f>
      </c>
      <c r="F49" s="2">
        <f>WORKDAY.INTL(E49,G49)</f>
      </c>
      <c r="G49" s="3">
        <v>10</v>
      </c>
      <c r="H49" s="3" t="str">
        <v>技术支持2</v>
      </c>
      <c r="I49" s="3" t="str">
        <v>讯飞</v>
      </c>
      <c r="J49" s="3" t="str">
        <v>未开始</v>
      </c>
      <c r="K49" s="6"/>
      <c r="L49" s="4"/>
    </row>
    <row r="50">
      <c r="A50" s="3" t="str">
        <v>双中心正式运行</v>
      </c>
      <c r="B50" t="str">
        <v>正式运行后运维</v>
      </c>
      <c r="C50" s="3">
        <v>42</v>
      </c>
      <c r="D50" s="8" t="str">
        <v>1.双中心AZ1、AZ2正式运行</v>
      </c>
      <c r="E50" s="2">
        <f>F49</f>
      </c>
      <c r="F50" s="2">
        <f>WORKDAY.INTL(E50,G50)</f>
      </c>
      <c r="G50" s="3">
        <v>10</v>
      </c>
      <c r="H50" s="3" t="str">
        <v>技术支持2</v>
      </c>
      <c r="I50" s="3" t="str">
        <v>讯飞</v>
      </c>
      <c r="J50" s="3" t="str">
        <v>未开始</v>
      </c>
      <c r="K50" s="6" t="str">
        <v>1.双中心运行周报.docx</v>
      </c>
      <c r="L50" s="4"/>
    </row>
  </sheetData>
  <mergeCells>
    <mergeCell ref="L47:L49"/>
    <mergeCell ref="L45:L46"/>
    <mergeCell ref="K47:K49"/>
    <mergeCell ref="K45:K46"/>
    <mergeCell ref="K43:K44"/>
    <mergeCell ref="K35:K39"/>
    <mergeCell ref="K17:K34"/>
    <mergeCell ref="K13:K16"/>
    <mergeCell ref="K11:K12"/>
    <mergeCell ref="K6:K10"/>
    <mergeCell ref="K2:K4"/>
    <mergeCell ref="A29:A34"/>
    <mergeCell ref="A39:A42"/>
    <mergeCell ref="A35:A38"/>
    <mergeCell ref="A47:A49"/>
    <mergeCell ref="A45:A46"/>
    <mergeCell ref="B47:B49"/>
    <mergeCell ref="K40:K42"/>
    <mergeCell ref="A26:A28"/>
    <mergeCell ref="A23:A25"/>
    <mergeCell ref="A17:A22"/>
    <mergeCell ref="A13:A16"/>
    <mergeCell ref="A3:A5"/>
    <mergeCell ref="A6:A9"/>
    <mergeCell ref="C29:C34"/>
  </mergeCells>
  <dataValidations count="1">
    <dataValidation allowBlank="true" errorStyle="stop" showErrorMessage="true" sqref="J2:J50" type="list">
      <formula1>"已完成,未开始,进行中"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3" min="3" style="0" width="34"/>
  </cols>
  <sheetData>
    <row r="1">
      <c r="A1" s="19" t="str">
        <v>大类</v>
      </c>
      <c r="B1" s="19" t="str">
        <v>工作量</v>
      </c>
      <c r="C1" s="20" t="str">
        <v>备注</v>
      </c>
    </row>
    <row r="2">
      <c r="A2" s="3" t="str">
        <v>双中心双活</v>
      </c>
      <c r="B2" s="3">
        <v>480</v>
      </c>
      <c r="C2" s="16"/>
    </row>
    <row r="3">
      <c r="A3" s="3" t="str">
        <v>95号码建设</v>
      </c>
      <c r="B3" s="3">
        <v>20</v>
      </c>
      <c r="C3" s="16"/>
    </row>
    <row r="4">
      <c r="A4" s="3" t="str">
        <v>灾备更新</v>
      </c>
      <c r="B4" s="3" t="str">
        <v>？</v>
      </c>
      <c r="C4" s="16"/>
    </row>
    <row r="5">
      <c r="A5" s="17" t="str">
        <v>大类</v>
      </c>
      <c r="B5" s="17" t="str">
        <v>工作量</v>
      </c>
      <c r="C5" s="18" t="str">
        <v>备注</v>
      </c>
    </row>
    <row r="6">
      <c r="A6" s="3" t="str">
        <v>天翼云迁移确认</v>
      </c>
      <c r="B6" s="3"/>
      <c r="C6" s="16" t="str">
        <v>1.需要进行天翼云迁移完成时间确认
2.配合天翼云进行迁移：例如访问关系梳理</v>
      </c>
    </row>
    <row r="7">
      <c r="A7" s="3" t="str">
        <v>迁移方式</v>
      </c>
      <c r="B7" s="3"/>
      <c r="C7" s="16" t="str">
        <v>1.增加验证时间，保证一次完成迁移</v>
      </c>
    </row>
    <row r="8">
      <c r="A8" s="3"/>
      <c r="B8" s="3"/>
      <c r="C8" s="16"/>
    </row>
    <row r="9">
      <c r="A9" s="3"/>
      <c r="B9" s="3"/>
      <c r="C9" s="16"/>
    </row>
    <row r="10">
      <c r="A10" s="3"/>
      <c r="B10" s="3"/>
      <c r="C10" s="16"/>
    </row>
    <row r="11">
      <c r="A11" s="3"/>
      <c r="B11" s="3"/>
      <c r="C11" s="16"/>
    </row>
    <row r="12">
      <c r="A12" s="3"/>
      <c r="B12" s="3"/>
      <c r="C12" s="16"/>
    </row>
    <row r="13">
      <c r="A13" s="3"/>
      <c r="B13" s="3"/>
      <c r="C13" s="16"/>
    </row>
    <row r="14">
      <c r="A14" s="3"/>
      <c r="B14" s="3"/>
      <c r="C14" s="16"/>
    </row>
    <row r="15">
      <c r="A15" s="3"/>
      <c r="B15" s="3"/>
      <c r="C15" s="16"/>
    </row>
    <row r="16">
      <c r="A16" s="3"/>
      <c r="B16" s="3"/>
      <c r="C16" s="16"/>
    </row>
    <row r="17">
      <c r="A17" s="3"/>
      <c r="B17" s="3"/>
      <c r="C17" s="16"/>
    </row>
    <row r="18">
      <c r="A18" s="3"/>
      <c r="B18" s="3"/>
      <c r="C18" s="16"/>
    </row>
    <row r="19">
      <c r="A19" s="3"/>
      <c r="B19" s="3"/>
      <c r="C19" s="16"/>
    </row>
    <row r="20">
      <c r="A20" s="3"/>
      <c r="B20" s="3"/>
      <c r="C20" s="16"/>
    </row>
    <row r="21">
      <c r="A21" s="3"/>
      <c r="B21" s="3"/>
      <c r="C21" s="16"/>
    </row>
    <row r="22">
      <c r="A22" s="3"/>
      <c r="B22" s="3"/>
      <c r="C22" s="16"/>
    </row>
    <row r="23">
      <c r="A23" s="3"/>
      <c r="B23" s="3"/>
      <c r="C23" s="16"/>
    </row>
    <row r="24">
      <c r="A24" s="3"/>
      <c r="B24" s="3"/>
      <c r="C24" s="16"/>
    </row>
    <row r="25">
      <c r="A25" s="3"/>
      <c r="B25" s="3"/>
      <c r="C25" s="16"/>
    </row>
    <row r="26">
      <c r="A26" s="3"/>
      <c r="B26" s="3"/>
      <c r="C26" s="16"/>
    </row>
    <row r="27">
      <c r="A27" s="3"/>
      <c r="B27" s="3"/>
      <c r="C27" s="16"/>
    </row>
    <row r="28">
      <c r="A28" s="3"/>
      <c r="B28" s="3"/>
      <c r="C28" s="16"/>
    </row>
    <row r="29">
      <c r="A29" s="3"/>
      <c r="B29" s="3"/>
      <c r="C29" s="16"/>
    </row>
    <row r="30">
      <c r="A30" s="3"/>
      <c r="B30" s="3"/>
      <c r="C30" s="16"/>
    </row>
    <row r="31">
      <c r="A31" s="3"/>
      <c r="B31" s="3"/>
      <c r="C31" s="16"/>
    </row>
    <row r="32">
      <c r="A32" s="3"/>
      <c r="B32" s="3"/>
      <c r="C32" s="16"/>
    </row>
    <row r="33">
      <c r="A33" s="3"/>
      <c r="B33" s="3"/>
      <c r="C33" s="16"/>
    </row>
    <row r="34">
      <c r="A34" s="3"/>
      <c r="B34" s="3"/>
      <c r="C34" s="16"/>
    </row>
    <row r="35">
      <c r="A35" s="3"/>
      <c r="B35" s="3"/>
      <c r="C35" s="16"/>
    </row>
    <row r="36">
      <c r="A36" s="3"/>
      <c r="B36" s="3"/>
      <c r="C36" s="16"/>
    </row>
    <row r="37">
      <c r="A37" s="3"/>
      <c r="B37" s="3"/>
      <c r="C37" s="16"/>
    </row>
    <row r="38">
      <c r="A38" s="3"/>
      <c r="B38" s="3"/>
      <c r="C38" s="16"/>
    </row>
    <row r="39">
      <c r="A39" s="3"/>
      <c r="B39" s="3"/>
      <c r="C39" s="16"/>
    </row>
    <row r="40">
      <c r="A40" s="3"/>
      <c r="B40" s="3"/>
      <c r="C40" s="16"/>
    </row>
    <row r="41">
      <c r="A41" s="3"/>
      <c r="B41" s="3"/>
      <c r="C41" s="16"/>
    </row>
    <row r="42">
      <c r="A42" s="3"/>
      <c r="B42" s="3"/>
      <c r="C42" s="16"/>
    </row>
    <row r="43">
      <c r="A43" s="3"/>
      <c r="B43" s="3"/>
      <c r="C43" s="16"/>
    </row>
    <row r="44">
      <c r="A44" s="3"/>
      <c r="B44" s="3"/>
      <c r="C44" s="16"/>
    </row>
    <row r="45">
      <c r="A45" s="3"/>
      <c r="B45" s="3"/>
      <c r="C45" s="16"/>
    </row>
    <row r="46">
      <c r="A46" s="3"/>
      <c r="B46" s="3"/>
      <c r="C46" s="16"/>
    </row>
    <row r="47">
      <c r="A47" s="3"/>
      <c r="B47" s="3"/>
      <c r="C47" s="16"/>
    </row>
    <row r="48">
      <c r="A48" s="3"/>
      <c r="B48" s="3"/>
      <c r="C48" s="16"/>
    </row>
    <row r="49">
      <c r="A49" s="3"/>
      <c r="B49" s="3"/>
      <c r="C49" s="16"/>
    </row>
    <row r="50">
      <c r="A50" s="3"/>
      <c r="B50" s="3"/>
      <c r="C50" s="16"/>
    </row>
    <row r="51">
      <c r="A51" s="3"/>
      <c r="B51" s="3"/>
      <c r="C51" s="16"/>
    </row>
    <row r="52">
      <c r="A52" s="3"/>
      <c r="B52" s="3"/>
      <c r="C52" s="16"/>
    </row>
    <row r="53">
      <c r="A53" s="3"/>
      <c r="B53" s="3"/>
      <c r="C53" s="16"/>
    </row>
    <row r="54">
      <c r="A54" s="3"/>
      <c r="B54" s="3"/>
      <c r="C54" s="16"/>
    </row>
    <row r="55">
      <c r="A55" s="3"/>
      <c r="B55" s="3"/>
      <c r="C55" s="16"/>
    </row>
    <row r="56">
      <c r="A56" s="3"/>
      <c r="B56" s="3"/>
      <c r="C56" s="16"/>
    </row>
    <row r="57">
      <c r="A57" s="3"/>
      <c r="B57" s="3"/>
      <c r="C57" s="16"/>
    </row>
    <row r="58">
      <c r="A58" s="3"/>
      <c r="B58" s="3"/>
      <c r="C58" s="16"/>
    </row>
    <row r="59">
      <c r="A59" s="3"/>
      <c r="B59" s="3"/>
      <c r="C59" s="16"/>
    </row>
    <row r="60">
      <c r="A60" s="3"/>
      <c r="B60" s="3"/>
      <c r="C60" s="16"/>
    </row>
    <row r="61">
      <c r="A61" s="3"/>
      <c r="B61" s="3"/>
      <c r="C61" s="16"/>
    </row>
    <row r="62">
      <c r="A62" s="3"/>
      <c r="B62" s="3"/>
      <c r="C62" s="16"/>
    </row>
    <row r="63">
      <c r="A63" s="3"/>
      <c r="B63" s="3"/>
      <c r="C63" s="16"/>
    </row>
    <row r="64">
      <c r="A64" s="3"/>
      <c r="B64" s="3"/>
      <c r="C64" s="16"/>
    </row>
    <row r="65">
      <c r="A65" s="3"/>
      <c r="B65" s="3"/>
      <c r="C65" s="16"/>
    </row>
    <row r="66">
      <c r="A66" s="3"/>
      <c r="B66" s="3"/>
      <c r="C66" s="16"/>
    </row>
    <row r="67">
      <c r="A67" s="3"/>
      <c r="B67" s="3"/>
      <c r="C67" s="16"/>
    </row>
    <row r="68">
      <c r="A68" s="3"/>
      <c r="B68" s="3"/>
      <c r="C68" s="16"/>
    </row>
    <row r="69">
      <c r="A69" s="3"/>
      <c r="B69" s="3"/>
      <c r="C69" s="16"/>
    </row>
    <row r="70">
      <c r="A70" s="3"/>
      <c r="B70" s="3"/>
      <c r="C70" s="16"/>
    </row>
    <row r="71">
      <c r="A71" s="3"/>
      <c r="B71" s="3"/>
      <c r="C71" s="16"/>
    </row>
    <row r="72">
      <c r="A72" s="3"/>
      <c r="B72" s="3"/>
      <c r="C72" s="16"/>
    </row>
    <row r="73">
      <c r="A73" s="3"/>
      <c r="B73" s="3"/>
      <c r="C73" s="16"/>
    </row>
    <row r="74">
      <c r="A74" s="3"/>
      <c r="B74" s="3"/>
      <c r="C74" s="16"/>
    </row>
    <row r="75">
      <c r="A75" s="3"/>
      <c r="B75" s="3"/>
      <c r="C75" s="16"/>
    </row>
    <row r="76">
      <c r="A76" s="3"/>
      <c r="B76" s="3"/>
      <c r="C76" s="16"/>
    </row>
    <row r="77">
      <c r="A77" s="3"/>
      <c r="B77" s="3"/>
      <c r="C77" s="16"/>
    </row>
    <row r="78">
      <c r="A78" s="3"/>
      <c r="B78" s="3"/>
      <c r="C78" s="16"/>
    </row>
    <row r="79">
      <c r="A79" s="3"/>
      <c r="B79" s="3"/>
      <c r="C79" s="16"/>
    </row>
    <row r="80">
      <c r="A80" s="3"/>
      <c r="B80" s="3"/>
      <c r="C80" s="16"/>
    </row>
    <row r="81">
      <c r="A81" s="3"/>
      <c r="B81" s="3"/>
      <c r="C81" s="16"/>
    </row>
    <row r="82">
      <c r="A82" s="3"/>
      <c r="B82" s="3"/>
      <c r="C82" s="16"/>
    </row>
    <row r="83">
      <c r="A83" s="3"/>
      <c r="B83" s="3"/>
      <c r="C83" s="16"/>
    </row>
    <row r="84">
      <c r="A84" s="3"/>
      <c r="B84" s="3"/>
      <c r="C84" s="16"/>
    </row>
    <row r="85">
      <c r="A85" s="3"/>
      <c r="B85" s="3"/>
      <c r="C85" s="16"/>
    </row>
    <row r="86">
      <c r="A86" s="3"/>
      <c r="B86" s="3"/>
      <c r="C86" s="16"/>
    </row>
    <row r="87">
      <c r="A87" s="3"/>
      <c r="B87" s="3"/>
      <c r="C87" s="16"/>
    </row>
    <row r="88">
      <c r="A88" s="3"/>
      <c r="B88" s="3"/>
      <c r="C88" s="16"/>
    </row>
    <row r="89">
      <c r="A89" s="3"/>
      <c r="B89" s="3"/>
      <c r="C89" s="16"/>
    </row>
    <row r="90">
      <c r="A90" s="3"/>
      <c r="B90" s="3"/>
      <c r="C90" s="16"/>
    </row>
    <row r="91">
      <c r="A91" s="3"/>
      <c r="B91" s="3"/>
      <c r="C91" s="16"/>
    </row>
    <row r="92">
      <c r="A92" s="3"/>
      <c r="B92" s="3"/>
      <c r="C92" s="16"/>
    </row>
    <row r="93">
      <c r="A93" s="3"/>
      <c r="B93" s="3"/>
      <c r="C93" s="16"/>
    </row>
    <row r="94">
      <c r="A94" s="3"/>
      <c r="B94" s="3"/>
      <c r="C94" s="16"/>
    </row>
    <row r="95">
      <c r="A95" s="3"/>
      <c r="B95" s="3"/>
      <c r="C95" s="16"/>
    </row>
    <row r="96">
      <c r="A96" s="3"/>
      <c r="B96" s="3"/>
      <c r="C96" s="16"/>
    </row>
    <row r="97">
      <c r="A97" s="3"/>
      <c r="B97" s="3"/>
      <c r="C97" s="16"/>
    </row>
    <row r="98">
      <c r="A98" s="3"/>
      <c r="B98" s="3"/>
      <c r="C98" s="16"/>
    </row>
    <row r="99">
      <c r="A99" s="3"/>
      <c r="B99" s="3"/>
      <c r="C99" s="16"/>
    </row>
    <row r="100">
      <c r="A100" s="3"/>
      <c r="B100" s="3"/>
      <c r="C100" s="16"/>
    </row>
    <row r="101">
      <c r="A101" s="3"/>
      <c r="B101" s="3"/>
      <c r="C101" s="16"/>
    </row>
    <row r="102">
      <c r="A102" s="3"/>
      <c r="B102" s="3"/>
      <c r="C102" s="16"/>
    </row>
    <row r="103">
      <c r="A103" s="3"/>
      <c r="B103" s="3"/>
      <c r="C103" s="16"/>
    </row>
    <row r="104">
      <c r="A104" s="3"/>
      <c r="B104" s="3"/>
      <c r="C104" s="16"/>
    </row>
    <row r="105">
      <c r="A105" s="3"/>
      <c r="B105" s="3"/>
      <c r="C105" s="16"/>
    </row>
    <row r="106">
      <c r="A106" s="3"/>
      <c r="B106" s="3"/>
      <c r="C106" s="16"/>
    </row>
    <row r="107">
      <c r="A107" s="3"/>
      <c r="B107" s="3"/>
      <c r="C107" s="16"/>
    </row>
    <row r="108">
      <c r="A108" s="3"/>
      <c r="B108" s="3"/>
      <c r="C108" s="16"/>
    </row>
    <row r="109">
      <c r="A109" s="3"/>
      <c r="B109" s="3"/>
      <c r="C109" s="16"/>
    </row>
    <row r="110">
      <c r="A110" s="3"/>
      <c r="B110" s="3"/>
      <c r="C110" s="16"/>
    </row>
    <row r="111">
      <c r="A111" s="3"/>
      <c r="B111" s="3"/>
      <c r="C111" s="16"/>
    </row>
    <row r="112">
      <c r="A112" s="3"/>
      <c r="B112" s="3"/>
      <c r="C112" s="16"/>
    </row>
    <row r="113">
      <c r="A113" s="3"/>
      <c r="B113" s="3"/>
      <c r="C113" s="16"/>
    </row>
    <row r="114">
      <c r="A114" s="3"/>
      <c r="B114" s="3"/>
      <c r="C114" s="16"/>
    </row>
    <row r="115">
      <c r="A115" s="3"/>
      <c r="B115" s="3"/>
      <c r="C115" s="16"/>
    </row>
    <row r="116">
      <c r="A116" s="3"/>
      <c r="B116" s="3"/>
      <c r="C116" s="16"/>
    </row>
    <row r="117">
      <c r="A117" s="3"/>
      <c r="B117" s="3"/>
      <c r="C117" s="16"/>
    </row>
    <row r="118">
      <c r="A118" s="3"/>
      <c r="B118" s="3"/>
      <c r="C118" s="16"/>
    </row>
    <row r="119">
      <c r="A119" s="3"/>
      <c r="B119" s="3"/>
      <c r="C119" s="16"/>
    </row>
    <row r="120">
      <c r="A120" s="3"/>
      <c r="B120" s="3"/>
      <c r="C120" s="16"/>
    </row>
    <row r="121">
      <c r="A121" s="3"/>
      <c r="B121" s="3"/>
      <c r="C121" s="16"/>
    </row>
    <row r="122">
      <c r="A122" s="3"/>
      <c r="B122" s="3"/>
      <c r="C122" s="16"/>
    </row>
    <row r="123">
      <c r="A123" s="3"/>
      <c r="B123" s="3"/>
      <c r="C123" s="16"/>
    </row>
    <row r="124">
      <c r="A124" s="3"/>
      <c r="B124" s="3"/>
      <c r="C124" s="16"/>
    </row>
    <row r="125">
      <c r="A125" s="3"/>
      <c r="B125" s="3"/>
      <c r="C125" s="16"/>
    </row>
    <row r="126">
      <c r="A126" s="3"/>
      <c r="B126" s="3"/>
      <c r="C126" s="16"/>
    </row>
    <row r="127">
      <c r="A127" s="3"/>
      <c r="B127" s="3"/>
      <c r="C127" s="16"/>
    </row>
    <row r="128">
      <c r="A128" s="3"/>
      <c r="B128" s="3"/>
      <c r="C128" s="16"/>
    </row>
    <row r="129">
      <c r="A129" s="3"/>
      <c r="B129" s="3"/>
      <c r="C129" s="16"/>
    </row>
    <row r="130">
      <c r="A130" s="3"/>
      <c r="B130" s="3"/>
      <c r="C130" s="16"/>
    </row>
    <row r="131">
      <c r="A131" s="3"/>
      <c r="B131" s="3"/>
      <c r="C131" s="16"/>
    </row>
    <row r="132">
      <c r="A132" s="3"/>
      <c r="B132" s="3"/>
      <c r="C132" s="16"/>
    </row>
    <row r="133">
      <c r="A133" s="3"/>
      <c r="B133" s="3"/>
      <c r="C133" s="16"/>
    </row>
    <row r="134">
      <c r="A134" s="3"/>
      <c r="B134" s="3"/>
      <c r="C134" s="16"/>
    </row>
    <row r="135">
      <c r="A135" s="3"/>
      <c r="B135" s="3"/>
      <c r="C135" s="16"/>
    </row>
    <row r="136">
      <c r="A136" s="3"/>
      <c r="B136" s="3"/>
      <c r="C136" s="16"/>
    </row>
    <row r="137">
      <c r="A137" s="3"/>
      <c r="B137" s="3"/>
      <c r="C137" s="16"/>
    </row>
    <row r="138">
      <c r="A138" s="3"/>
      <c r="B138" s="3"/>
      <c r="C138" s="16"/>
    </row>
    <row r="139">
      <c r="A139" s="3"/>
      <c r="B139" s="3"/>
      <c r="C139" s="16"/>
    </row>
    <row r="140">
      <c r="A140" s="3"/>
      <c r="B140" s="3"/>
      <c r="C140" s="16"/>
    </row>
    <row r="141">
      <c r="A141" s="3"/>
      <c r="B141" s="3"/>
      <c r="C141" s="16"/>
    </row>
    <row r="142">
      <c r="A142" s="3"/>
      <c r="B142" s="3"/>
      <c r="C142" s="16"/>
    </row>
    <row r="143">
      <c r="A143" s="3"/>
      <c r="B143" s="3"/>
      <c r="C143" s="16"/>
    </row>
    <row r="144">
      <c r="A144" s="3"/>
      <c r="B144" s="3"/>
      <c r="C144" s="16"/>
    </row>
    <row r="145">
      <c r="A145" s="3"/>
      <c r="B145" s="3"/>
      <c r="C145" s="16"/>
    </row>
    <row r="146">
      <c r="A146" s="3"/>
      <c r="B146" s="3"/>
      <c r="C146" s="16"/>
    </row>
    <row r="147">
      <c r="A147" s="3"/>
      <c r="B147" s="3"/>
      <c r="C147" s="16"/>
    </row>
    <row r="148">
      <c r="A148" s="3"/>
      <c r="B148" s="3"/>
      <c r="C148" s="16"/>
    </row>
    <row r="149">
      <c r="A149" s="3"/>
      <c r="B149" s="3"/>
      <c r="C149" s="16"/>
    </row>
    <row r="150">
      <c r="A150" s="3"/>
      <c r="B150" s="3"/>
      <c r="C150" s="16"/>
    </row>
    <row r="151">
      <c r="A151" s="3"/>
      <c r="B151" s="3"/>
      <c r="C151" s="16"/>
    </row>
    <row r="152">
      <c r="A152" s="3"/>
      <c r="B152" s="3"/>
      <c r="C152" s="16"/>
    </row>
    <row r="153">
      <c r="A153" s="3"/>
      <c r="B153" s="3"/>
      <c r="C153" s="16"/>
    </row>
    <row r="154">
      <c r="A154" s="3"/>
      <c r="B154" s="3"/>
      <c r="C154" s="16"/>
    </row>
    <row r="155">
      <c r="A155" s="3"/>
      <c r="B155" s="3"/>
      <c r="C155" s="16"/>
    </row>
    <row r="156">
      <c r="A156" s="3"/>
      <c r="B156" s="3"/>
      <c r="C156" s="16"/>
    </row>
    <row r="157">
      <c r="A157" s="3"/>
      <c r="B157" s="3"/>
      <c r="C157" s="16"/>
    </row>
    <row r="158">
      <c r="A158" s="3"/>
      <c r="B158" s="3"/>
      <c r="C158" s="16"/>
    </row>
    <row r="159">
      <c r="A159" s="3"/>
      <c r="B159" s="3"/>
      <c r="C159" s="16"/>
    </row>
    <row r="160">
      <c r="A160" s="3"/>
      <c r="B160" s="3"/>
      <c r="C160" s="16"/>
    </row>
    <row r="161">
      <c r="A161" s="3"/>
      <c r="B161" s="3"/>
      <c r="C161" s="16"/>
    </row>
    <row r="162">
      <c r="A162" s="3"/>
      <c r="B162" s="3"/>
      <c r="C162" s="16"/>
    </row>
    <row r="163">
      <c r="A163" s="3"/>
      <c r="B163" s="3"/>
      <c r="C163" s="16"/>
    </row>
    <row r="164">
      <c r="A164" s="3"/>
      <c r="B164" s="3"/>
      <c r="C164" s="16"/>
    </row>
    <row r="165">
      <c r="A165" s="3"/>
      <c r="B165" s="3"/>
      <c r="C165" s="16"/>
    </row>
    <row r="166">
      <c r="A166" s="3"/>
      <c r="B166" s="3"/>
      <c r="C166" s="16"/>
    </row>
    <row r="167">
      <c r="A167" s="3"/>
      <c r="B167" s="3"/>
      <c r="C167" s="16"/>
    </row>
    <row r="168">
      <c r="A168" s="3"/>
      <c r="B168" s="3"/>
      <c r="C168" s="16"/>
    </row>
    <row r="169">
      <c r="A169" s="3"/>
      <c r="B169" s="3"/>
      <c r="C169" s="16"/>
    </row>
    <row r="170">
      <c r="A170" s="3"/>
      <c r="B170" s="3"/>
      <c r="C170" s="16"/>
    </row>
    <row r="171">
      <c r="A171" s="3"/>
      <c r="B171" s="3"/>
      <c r="C171" s="16"/>
    </row>
    <row r="172">
      <c r="A172" s="3"/>
      <c r="B172" s="3"/>
      <c r="C172" s="16"/>
    </row>
    <row r="173">
      <c r="A173" s="3"/>
      <c r="B173" s="3"/>
      <c r="C173" s="16"/>
    </row>
    <row r="174">
      <c r="A174" s="3"/>
      <c r="B174" s="3"/>
      <c r="C174" s="16"/>
    </row>
    <row r="175">
      <c r="A175" s="3"/>
      <c r="B175" s="3"/>
      <c r="C175" s="16"/>
    </row>
    <row r="176">
      <c r="A176" s="3"/>
      <c r="B176" s="3"/>
      <c r="C176" s="16"/>
    </row>
    <row r="177">
      <c r="A177" s="3"/>
      <c r="B177" s="3"/>
      <c r="C177" s="16"/>
    </row>
    <row r="178">
      <c r="A178" s="3"/>
      <c r="B178" s="3"/>
      <c r="C178" s="16"/>
    </row>
    <row r="179">
      <c r="A179" s="3"/>
      <c r="B179" s="3"/>
      <c r="C179" s="16"/>
    </row>
    <row r="180">
      <c r="A180" s="3"/>
      <c r="B180" s="3"/>
      <c r="C180" s="16"/>
    </row>
    <row r="181">
      <c r="A181" s="3"/>
      <c r="B181" s="3"/>
      <c r="C181" s="16"/>
    </row>
    <row r="182">
      <c r="A182" s="3"/>
      <c r="B182" s="3"/>
      <c r="C182" s="16"/>
    </row>
    <row r="183">
      <c r="A183" s="3"/>
      <c r="B183" s="3"/>
      <c r="C183" s="16"/>
    </row>
    <row r="184">
      <c r="A184" s="3"/>
      <c r="B184" s="3"/>
      <c r="C184" s="16"/>
    </row>
    <row r="185">
      <c r="A185" s="3"/>
      <c r="B185" s="3"/>
      <c r="C185" s="16"/>
    </row>
    <row r="186">
      <c r="A186" s="3"/>
      <c r="B186" s="3"/>
      <c r="C186" s="16"/>
    </row>
    <row r="187">
      <c r="A187" s="3"/>
      <c r="B187" s="3"/>
      <c r="C187" s="16"/>
    </row>
    <row r="188">
      <c r="A188" s="3"/>
      <c r="B188" s="3"/>
      <c r="C188" s="16"/>
    </row>
    <row r="189">
      <c r="A189" s="3"/>
      <c r="B189" s="3"/>
      <c r="C189" s="16"/>
    </row>
    <row r="190">
      <c r="A190" s="3"/>
      <c r="B190" s="3"/>
      <c r="C190" s="16"/>
    </row>
    <row r="191">
      <c r="A191" s="3"/>
      <c r="B191" s="3"/>
      <c r="C191" s="16"/>
    </row>
    <row r="192">
      <c r="A192" s="3"/>
      <c r="B192" s="3"/>
      <c r="C192" s="16"/>
    </row>
    <row r="193">
      <c r="A193" s="3"/>
      <c r="B193" s="3"/>
      <c r="C193" s="16"/>
    </row>
    <row r="194">
      <c r="A194" s="3"/>
      <c r="B194" s="3"/>
      <c r="C194" s="16"/>
    </row>
    <row r="195">
      <c r="A195" s="3"/>
      <c r="B195" s="3"/>
      <c r="C195" s="16"/>
    </row>
    <row r="196">
      <c r="A196" s="3"/>
      <c r="B196" s="3"/>
      <c r="C196" s="16"/>
    </row>
    <row r="197">
      <c r="A197" s="3"/>
      <c r="B197" s="3"/>
      <c r="C197" s="16"/>
    </row>
    <row r="198">
      <c r="A198" s="3"/>
      <c r="B198" s="3"/>
      <c r="C198" s="16"/>
    </row>
    <row r="199">
      <c r="A199" s="3"/>
      <c r="B199" s="3"/>
      <c r="C199" s="16"/>
    </row>
    <row r="200">
      <c r="A200" s="3"/>
      <c r="B200" s="3"/>
      <c r="C200" s="16"/>
    </row>
    <row r="201">
      <c r="A201" s="3"/>
      <c r="B201" s="3"/>
      <c r="C201" s="16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5"/>
    <col collapsed="false" customWidth="true" hidden="false" max="3" min="3" style="0" width="33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6"/>
    <col collapsed="false" customWidth="true" hidden="false" max="7" min="7" style="0" width="19"/>
  </cols>
  <sheetData>
    <row customHeight="true" ht="19" r="1">
      <c r="A1" s="12" t="str">
        <v>大类</v>
      </c>
      <c r="B1" s="12" t="str">
        <v>小类</v>
      </c>
      <c r="C1" s="12" t="str">
        <v>功能调整点</v>
      </c>
      <c r="D1" s="12" t="str">
        <v>开始时间</v>
      </c>
      <c r="E1" s="24" t="str">
        <v>结束时间</v>
      </c>
      <c r="F1" s="12" t="str">
        <v>工作量</v>
      </c>
      <c r="G1" s="12" t="str">
        <v>备注</v>
      </c>
    </row>
    <row r="2">
      <c r="A2" s="21" t="str">
        <v>运营商线路调整</v>
      </c>
      <c r="B2" s="21" t="str">
        <v>中继与网关调整</v>
      </c>
      <c r="C2" s="22" t="str">
        <v>华旗对接生产、灾备线路调整</v>
      </c>
      <c r="D2" s="25">
        <f>'计划与资源排期'!F50</f>
      </c>
      <c r="E2" s="23">
        <f>WORKDAY.INTL(D2,F2)</f>
      </c>
      <c r="F2" s="21">
        <v>1</v>
      </c>
      <c r="G2" s="25" t="str">
        <v>依赖双活切换完成的时间</v>
      </c>
    </row>
    <row r="3">
      <c r="A3" s="21" t="str">
        <v>灾备环境更新</v>
      </c>
      <c r="B3" s="21" t="str">
        <v>更新双活最新版本</v>
      </c>
      <c r="C3" s="22" t="str">
        <v>1. UAP
2. aicc坐席工作台
3. 呼叫平台
4. 导航识别引擎
5. 合成引擎
6. 言之和语义引擎
7. 中间件
9. IM</v>
      </c>
      <c r="D3" s="21">
        <f>E2</f>
      </c>
      <c r="E3" s="23">
        <f>WORKDAY.INTL(D3,F3)</f>
      </c>
      <c r="F3" s="21">
        <v>10</v>
      </c>
      <c r="G3" s="21"/>
    </row>
    <row r="4">
      <c r="A4" s="21"/>
      <c r="B4" s="21"/>
      <c r="C4" s="22" t="str">
        <v>1. 数据能力平台
2. 言之和语义引擎
3. 报表服务</v>
      </c>
      <c r="D4" s="21">
        <f>E3</f>
      </c>
      <c r="E4" s="23">
        <f>WORKDAY.INTL(D4,F4)</f>
      </c>
      <c r="F4" s="21">
        <v>10</v>
      </c>
      <c r="G4" s="21"/>
    </row>
    <row r="5">
      <c r="A5" s="21"/>
      <c r="B5" s="21" t="str">
        <v>功能验证</v>
      </c>
      <c r="C5" s="22" t="str">
        <v>语音平台基本功能验证</v>
      </c>
      <c r="D5" s="21">
        <f>E4</f>
      </c>
      <c r="E5" s="23">
        <f>WORKDAY.INTL(D5,F5)</f>
      </c>
      <c r="F5" s="21">
        <v>5</v>
      </c>
      <c r="G5" s="21"/>
    </row>
    <row r="6">
      <c r="A6" s="21" t="str">
        <v>网络建设和验证</v>
      </c>
      <c r="B6" s="21" t="str">
        <v>网络建设验证</v>
      </c>
      <c r="C6" s="22" t="str">
        <v>天翼云AZ1、AZ2到厦门机房网络打通、验证</v>
      </c>
      <c r="D6" s="21">
        <f>E5</f>
      </c>
      <c r="E6" s="23">
        <f>WORKDAY.INTL(D6,F6)</f>
      </c>
      <c r="F6" s="21">
        <v>5</v>
      </c>
      <c r="G6" s="21"/>
    </row>
    <row r="7">
      <c r="A7" s="21"/>
      <c r="B7" s="21"/>
      <c r="C7" s="22" t="str">
        <v>大成机房到厦门机房网络打通、验证</v>
      </c>
      <c r="D7" s="21"/>
      <c r="E7" s="23"/>
      <c r="F7" s="21"/>
      <c r="G7" s="21"/>
    </row>
    <row r="8">
      <c r="A8" s="21"/>
      <c r="B8" s="21"/>
      <c r="C8" s="22" t="str">
        <v>兴融机房到厦门机房网络打通、验证</v>
      </c>
      <c r="D8" s="21"/>
      <c r="E8" s="23"/>
      <c r="F8" s="21"/>
      <c r="G8" s="21"/>
    </row>
    <row r="9">
      <c r="A9" s="21"/>
      <c r="B9" s="21"/>
      <c r="C9" s="22" t="str">
        <v>北京职场到厦门机房网络打通、验证</v>
      </c>
      <c r="D9" s="21"/>
      <c r="E9" s="23"/>
      <c r="F9" s="21"/>
      <c r="G9" s="21"/>
    </row>
    <row r="10">
      <c r="A10" s="21"/>
      <c r="B10" s="21"/>
      <c r="C10" s="22" t="str">
        <v>天津职场到厦门机房网络打通、验证</v>
      </c>
      <c r="D10" s="21"/>
      <c r="E10" s="23"/>
      <c r="F10" s="21"/>
      <c r="G10" s="21"/>
    </row>
    <row r="11">
      <c r="A11" s="21"/>
      <c r="B11" s="21"/>
      <c r="C11" s="22" t="str">
        <v>长沙职场到厦门机房网络打通、验证</v>
      </c>
      <c r="D11" s="21"/>
      <c r="E11" s="23"/>
      <c r="F11" s="21"/>
      <c r="G11" s="21"/>
    </row>
    <row customHeight="true" ht="18" r="12">
      <c r="A12" s="21" t="str">
        <v>数据灾备验证</v>
      </c>
      <c r="B12" s="21" t="str">
        <v>MYSQL数据库灾备</v>
      </c>
      <c r="C12" s="22" t="str">
        <v>天翼云华北向厦门同步方案编写</v>
      </c>
      <c r="D12" s="21">
        <f>E6</f>
      </c>
      <c r="E12" s="23">
        <f>WORKDAY.INTL(D12,F12)</f>
      </c>
      <c r="F12" s="21">
        <v>3</v>
      </c>
      <c r="G12" s="21"/>
    </row>
    <row customHeight="true" ht="18" r="13">
      <c r="A13" s="21"/>
      <c r="B13" s="21"/>
      <c r="C13" s="22" t="str">
        <v>天翼云华北向厦门数据同步</v>
      </c>
      <c r="D13" s="21">
        <f>E12</f>
      </c>
      <c r="E13" s="23">
        <f>WORKDAY.INTL(D13,F13)</f>
      </c>
      <c r="F13" s="21">
        <v>5</v>
      </c>
      <c r="G13" s="21"/>
    </row>
    <row customHeight="true" ht="18" r="14">
      <c r="A14" s="21"/>
      <c r="B14" s="21"/>
      <c r="C14" s="22" t="str">
        <v>数据同步完整性校验</v>
      </c>
      <c r="D14" s="21">
        <f>E13</f>
      </c>
      <c r="E14" s="23">
        <f>WORKDAY.INTL(D14,F14)</f>
      </c>
      <c r="F14" s="21">
        <v>2</v>
      </c>
      <c r="G14" s="21"/>
    </row>
    <row customHeight="true" ht="18" r="15">
      <c r="A15" s="21"/>
      <c r="B15" s="21" t="str">
        <v>ES灾备</v>
      </c>
      <c r="C15" s="22" t="str">
        <v>天翼云华北向厦门同步方案编写</v>
      </c>
      <c r="D15" s="21">
        <f>E14</f>
      </c>
      <c r="E15" s="23">
        <f>WORKDAY.INTL(D15,F15)</f>
      </c>
      <c r="F15" s="21">
        <v>3</v>
      </c>
      <c r="G15" s="21"/>
    </row>
    <row customHeight="true" ht="18" r="16">
      <c r="A16" s="21"/>
      <c r="B16" s="21"/>
      <c r="C16" s="22" t="str">
        <v>天翼云华北向厦门数据同步</v>
      </c>
      <c r="D16" s="21">
        <f>E15</f>
      </c>
      <c r="E16" s="23">
        <f>WORKDAY.INTL(D16,F16)</f>
      </c>
      <c r="F16" s="21">
        <v>5</v>
      </c>
      <c r="G16" s="21"/>
    </row>
    <row customHeight="true" ht="18" r="17">
      <c r="A17" s="21"/>
      <c r="B17" s="21"/>
      <c r="C17" s="22" t="str">
        <v>数据同步完整性校验</v>
      </c>
      <c r="D17" s="21">
        <f>E16</f>
      </c>
      <c r="E17" s="23">
        <f>WORKDAY.INTL(D17,F17)</f>
      </c>
      <c r="F17" s="21">
        <v>2</v>
      </c>
      <c r="G17" s="21"/>
    </row>
    <row customHeight="true" ht="18" r="18">
      <c r="A18" s="21"/>
      <c r="B18" s="21" t="str">
        <v>MINIO灾备</v>
      </c>
      <c r="C18" s="22" t="str">
        <v>天翼云华北向厦门同步方案编写</v>
      </c>
      <c r="D18" s="21">
        <f>E17</f>
      </c>
      <c r="E18" s="23">
        <f>WORKDAY.INTL(D18,F18)</f>
      </c>
      <c r="F18" s="21">
        <v>3</v>
      </c>
      <c r="G18" s="21"/>
    </row>
    <row customHeight="true" ht="18" r="19">
      <c r="A19" s="21"/>
      <c r="B19" s="21"/>
      <c r="C19" s="22" t="str">
        <v>天翼云华北向厦门数据同步</v>
      </c>
      <c r="D19" s="21">
        <f>E18</f>
      </c>
      <c r="E19" s="23">
        <f>WORKDAY.INTL(D19,F19)</f>
      </c>
      <c r="F19" s="21">
        <v>5</v>
      </c>
      <c r="G19" s="21"/>
    </row>
    <row customHeight="true" ht="18" r="20">
      <c r="A20" s="21"/>
      <c r="B20" s="21"/>
      <c r="C20" s="22" t="str">
        <v>数据同步完整性校验</v>
      </c>
      <c r="D20" s="21">
        <f>E19</f>
      </c>
      <c r="E20" s="23">
        <f>WORKDAY.INTL(D20,F20)</f>
      </c>
      <c r="F20" s="21">
        <v>2</v>
      </c>
      <c r="G20" s="21"/>
    </row>
    <row customHeight="true" ht="18" r="21">
      <c r="A21" s="21"/>
      <c r="B21" s="21" t="str">
        <v>NFS灾备</v>
      </c>
      <c r="C21" s="22" t="str">
        <v>天翼云华北向厦门同步方案编写</v>
      </c>
      <c r="D21" s="21">
        <f>E20</f>
      </c>
      <c r="E21" s="23">
        <f>WORKDAY.INTL(D21,F21)</f>
      </c>
      <c r="F21" s="21">
        <v>3</v>
      </c>
      <c r="G21" s="21"/>
    </row>
    <row customHeight="true" ht="18" r="22">
      <c r="A22" s="21"/>
      <c r="B22" s="21"/>
      <c r="C22" s="22" t="str">
        <v>天翼云华北向厦门数据同步</v>
      </c>
      <c r="D22" s="21">
        <f>E21</f>
      </c>
      <c r="E22" s="23">
        <f>WORKDAY.INTL(D22,F22)</f>
      </c>
      <c r="F22" s="21">
        <v>5</v>
      </c>
      <c r="G22" s="21"/>
    </row>
    <row customHeight="true" ht="18" r="23">
      <c r="A23" s="21"/>
      <c r="B23" s="21"/>
      <c r="C23" s="22" t="str">
        <v>数据同步完整性校验</v>
      </c>
      <c r="D23" s="21">
        <f>E22</f>
      </c>
      <c r="E23" s="23">
        <f>WORKDAY.INTL(D23,F23)</f>
      </c>
      <c r="F23" s="21">
        <v>2</v>
      </c>
      <c r="G23" s="21"/>
    </row>
    <row r="24">
      <c r="A24" s="21" t="str">
        <v>灾备演练</v>
      </c>
      <c r="B24" s="21" t="str">
        <v>演练方案输出</v>
      </c>
      <c r="C24" s="22" t="str">
        <v>讯飞根据灾备中心需求输出灾备演练方案</v>
      </c>
      <c r="D24" s="21">
        <f>E23</f>
      </c>
      <c r="E24" s="23">
        <f>WORKDAY.INTL(D24,F24)</f>
      </c>
      <c r="F24" s="21">
        <v>5</v>
      </c>
      <c r="G24" s="21"/>
    </row>
    <row r="25">
      <c r="A25" s="21"/>
      <c r="B25" s="21" t="str">
        <v>演练方案评审</v>
      </c>
      <c r="C25" s="22" t="str">
        <v>灾备演练方案评审及修订</v>
      </c>
      <c r="D25" s="21">
        <f>E24</f>
      </c>
      <c r="E25" s="23">
        <f>WORKDAY.INTL(D25,F25)</f>
      </c>
      <c r="F25" s="21">
        <v>3</v>
      </c>
      <c r="G25" s="21"/>
    </row>
    <row r="26">
      <c r="A26" s="21"/>
      <c r="B26" s="21" t="str">
        <v>演练</v>
      </c>
      <c r="C26" s="22" t="str">
        <v>灾备切换演练</v>
      </c>
      <c r="D26" s="21">
        <f>E25</f>
      </c>
      <c r="E26" s="23">
        <f>WORKDAY.INTL(D26,F26)</f>
      </c>
      <c r="F26" s="21">
        <v>2</v>
      </c>
      <c r="G26" s="21"/>
    </row>
    <row r="27">
      <c r="A27" s="21"/>
      <c r="B27" s="21"/>
      <c r="C27" s="22" t="str">
        <v>主中心回切演练</v>
      </c>
      <c r="D27" s="21">
        <f>E26</f>
      </c>
      <c r="E27" s="23">
        <f>WORKDAY.INTL(D27,F27)</f>
      </c>
      <c r="F27" s="21"/>
      <c r="G27" s="21"/>
    </row>
  </sheetData>
  <mergeCells>
    <mergeCell ref="B12:B14"/>
    <mergeCell ref="A3:A5"/>
    <mergeCell ref="B3:B4"/>
    <mergeCell ref="A6:A11"/>
    <mergeCell ref="B6:B11"/>
    <mergeCell ref="D6:D11"/>
    <mergeCell ref="F6:F11"/>
    <mergeCell ref="E6:E11"/>
    <mergeCell ref="F26:F27"/>
    <mergeCell ref="B26:B27"/>
    <mergeCell ref="A24:A27"/>
    <mergeCell ref="B15:B17"/>
    <mergeCell ref="B18:B20"/>
    <mergeCell ref="B21:B23"/>
    <mergeCell ref="A12:A23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53"/>
    <col collapsed="false" customWidth="true" hidden="false" max="3" min="3" style="0" width="23"/>
  </cols>
  <sheetData>
    <row r="1">
      <c r="A1" s="33" t="str">
        <v>建设阶段</v>
      </c>
      <c r="B1" s="33" t="str">
        <v>初验内容</v>
      </c>
      <c r="C1" s="33" t="str">
        <v>验收标准</v>
      </c>
    </row>
    <row r="2">
      <c r="A2" s="26" t="str">
        <v>阶段一</v>
      </c>
      <c r="B2" s="30" t="s">
        <v>4</v>
      </c>
      <c r="C2" s="30" t="s">
        <v>5</v>
      </c>
    </row>
    <row customHeight="true" ht="48" r="3">
      <c r="A3" s="26" t="str">
        <v>阶段一</v>
      </c>
      <c r="B3" s="26" t="str">
        <v>1.数据迁移方案.docx
2.数据迁移计划排期.excel
3.迁移后数据检验比对报告.doc</v>
      </c>
      <c r="C3" s="27" t="str">
        <v>1.数据无丢失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>
      <c r="A4" s="26" t="str">
        <v>阶段一</v>
      </c>
      <c r="B4" s="26" t="str">
        <v>1.双活网络架构图.eddx
2.网络、机器资源需求清单.excel
3.双活服务部署图.eddx</v>
      </c>
      <c r="C4" s="27"/>
    </row>
    <row r="5">
      <c r="A5" s="26" t="str">
        <v>阶段一</v>
      </c>
      <c r="B5" s="26" t="str">
        <v>1.中间件改造方案.doc
2.中间件改造排期清单.excel</v>
      </c>
      <c r="C5" s="27"/>
    </row>
    <row r="6">
      <c r="A6" s="26" t="str">
        <v>阶段一</v>
      </c>
      <c r="B6" s="26" t="str">
        <v>1.应用改造方案.doc
2.应用改造排期清单.excel</v>
      </c>
      <c r="C6" s="27"/>
    </row>
    <row r="7">
      <c r="A7" s="26" t="str">
        <v>阶段一</v>
      </c>
      <c r="B7" s="26" t="str">
        <v>1.中间件改造适配后，应用功能测试报告.dox
2.中间件改造适配后，应用性能测试报告.dox
3.中间件适配工具包.zip</v>
      </c>
      <c r="C7" s="32" t="s">
        <v>3</v>
      </c>
    </row>
    <row r="8">
      <c r="A8" s="28" t="str">
        <v>阶段二</v>
      </c>
      <c r="B8" s="28" t="str">
        <v>1.应用改造适配后，功能测试报告.doc
2.应用改造适配后，性能测试报告.doc
3.应用版本包.zip</v>
      </c>
      <c r="C8" s="29" t="s">
        <v>3</v>
      </c>
    </row>
    <row r="9">
      <c r="A9" s="26" t="str">
        <v>阶段二</v>
      </c>
      <c r="B9" s="30" t="s">
        <v>6</v>
      </c>
      <c r="C9" s="32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8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10"/>
  </cols>
  <sheetData>
    <row customHeight="true" ht="19" r="1">
      <c r="A1" s="12" t="str">
        <v>大类</v>
      </c>
      <c r="B1" s="12" t="str">
        <v>小类</v>
      </c>
      <c r="C1" s="12" t="str">
        <v>功能调整点</v>
      </c>
      <c r="D1" s="12" t="str">
        <v>详细内容</v>
      </c>
      <c r="E1" s="14" t="str">
        <v>开始时间</v>
      </c>
      <c r="F1" s="14" t="str">
        <v>完成时间</v>
      </c>
      <c r="G1" s="12" t="str">
        <v>工作量预估</v>
      </c>
      <c r="H1" s="12" t="str">
        <v>负责人</v>
      </c>
      <c r="I1" s="12" t="str">
        <v>负责方</v>
      </c>
      <c r="J1" s="12" t="str">
        <v>状态</v>
      </c>
    </row>
    <row customHeight="true" ht="19" r="2">
      <c r="A2" s="1" t="str">
        <v>天翼云迁移</v>
      </c>
      <c r="B2" s="1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3"/>
      <c r="F2" s="3" t="str">
        <v>T</v>
      </c>
      <c r="G2" s="3">
        <v>5</v>
      </c>
      <c r="H2" s="3"/>
      <c r="I2" s="3" t="str">
        <v>天翼云</v>
      </c>
      <c r="J2" s="3" t="str">
        <v>进行中</v>
      </c>
    </row>
    <row customHeight="true" ht="34" r="3">
      <c r="A3" s="1" t="str">
        <v>天翼云迁移</v>
      </c>
      <c r="B3" s="1" t="str">
        <v>环境搭建</v>
      </c>
      <c r="C3" s="5" t="str">
        <v>开通北京 5 至华北的临时专线，在华北开通迁移所 需的全部资源</v>
      </c>
      <c r="D3" s="5"/>
      <c r="E3" s="3"/>
      <c r="F3" s="3"/>
      <c r="G3" s="3">
        <v>5</v>
      </c>
      <c r="H3" s="3"/>
      <c r="I3" s="3" t="str">
        <v>天翼云</v>
      </c>
      <c r="J3" s="3"/>
    </row>
    <row customHeight="true" ht="34" r="4">
      <c r="A4" s="1" t="str">
        <v>天翼云迁移</v>
      </c>
      <c r="B4" s="1" t="str">
        <v>数据迁移</v>
      </c>
      <c r="C4" s="5" t="str">
        <v>通过迁移工具对云主机、弹性文件、对象存储、 RDS 数据库进行数据迁</v>
      </c>
      <c r="D4" s="5"/>
      <c r="E4" s="3"/>
      <c r="F4" s="3"/>
      <c r="G4" s="3">
        <v>20</v>
      </c>
      <c r="H4" s="3"/>
      <c r="I4" s="3" t="str">
        <v>天翼云</v>
      </c>
      <c r="J4" s="3"/>
    </row>
    <row customHeight="true" ht="34" r="5">
      <c r="A5" s="1" t="str">
        <v>天翼云迁移</v>
      </c>
      <c r="B5" s="1" t="str">
        <v>割接准备</v>
      </c>
      <c r="C5" s="5" t="str">
        <v>制定割接计划、完成备线割接、明确各环节操作及 保障人员</v>
      </c>
      <c r="D5" s="5"/>
      <c r="E5" s="3"/>
      <c r="F5" s="3"/>
      <c r="G5" s="3">
        <v>3</v>
      </c>
      <c r="H5" s="3"/>
      <c r="I5" s="3" t="str">
        <v>天翼云</v>
      </c>
      <c r="J5" s="3"/>
    </row>
    <row customHeight="true" ht="34" r="6">
      <c r="A6" s="1" t="str">
        <v>天翼云迁移</v>
      </c>
      <c r="B6" s="1" t="str">
        <v>业务割接</v>
      </c>
      <c r="C6" s="5" t="str">
        <v>按割接方案进行业务割接并验证，迁移完成</v>
      </c>
      <c r="D6" s="5"/>
      <c r="E6" s="3"/>
      <c r="F6" s="3"/>
      <c r="G6" s="3">
        <v>1</v>
      </c>
      <c r="H6" s="3"/>
      <c r="I6" s="3" t="str">
        <v>天翼云</v>
      </c>
      <c r="J6" s="3"/>
    </row>
    <row customHeight="true" ht="34" r="7">
      <c r="A7" s="1" t="str">
        <v>讯飞方案设计</v>
      </c>
      <c r="B7" s="1" t="str">
        <v>方案整理</v>
      </c>
      <c r="C7" s="5" t="str">
        <v>整体双中心双活方案</v>
      </c>
      <c r="D7" s="5" t="str">
        <v>1、完成整体建设计划明确、内部评审</v>
      </c>
      <c r="E7" s="2">
        <v>45439</v>
      </c>
      <c r="F7" s="10">
        <f>WORKDAY.INTL(E7,G7)</f>
      </c>
      <c r="G7" s="3">
        <v>10</v>
      </c>
      <c r="H7" s="3" t="str">
        <v>陈亚男</v>
      </c>
      <c r="I7" s="3" t="str">
        <v>讯飞</v>
      </c>
      <c r="J7" s="3" t="str">
        <v>未开始</v>
      </c>
    </row>
    <row r="8">
      <c r="A8" s="1" t="str">
        <v>讯飞方案设计</v>
      </c>
      <c r="B8" s="1" t="str">
        <v>方案评估</v>
      </c>
      <c r="C8" s="5" t="str">
        <v>详细方案可行性、方案评审</v>
      </c>
      <c r="D8" s="5" t="str">
        <v>1、完成详细方案设计、评审、
2、完成融通侧双中心服务器资源协调与建设计划同步
3、跟踪整体建设方案、进度</v>
      </c>
      <c r="E8" s="2">
        <f>F7</f>
      </c>
      <c r="F8" s="2">
        <f>WORKDAY.INTL(E8,G8)</f>
      </c>
      <c r="G8" s="3">
        <v>40</v>
      </c>
      <c r="H8" s="3" t="str">
        <v>陈亚男</v>
      </c>
      <c r="I8" s="3" t="str">
        <v>讯飞</v>
      </c>
      <c r="J8" s="3" t="str">
        <v>未开始</v>
      </c>
    </row>
    <row customHeight="true" ht="19" r="9">
      <c r="A9" s="1" t="str">
        <v>讯飞方案设计</v>
      </c>
      <c r="B9" s="1" t="str">
        <v>资源评估</v>
      </c>
      <c r="C9" s="5" t="str">
        <v>根据天翼云规划的机器进行应用服务规划</v>
      </c>
      <c r="D9" s="5" t="str">
        <v>1、将单中心、双集群梳理为双中心双集群</v>
      </c>
      <c r="E9" s="2">
        <f>F7</f>
      </c>
      <c r="F9" s="2">
        <f>WORKDAY.INTL(E9,G9)</f>
      </c>
      <c r="G9" s="3">
        <v>5</v>
      </c>
      <c r="H9" s="39" t="str">
        <v>陈亚男</v>
      </c>
      <c r="I9" s="3" t="str">
        <v>讯飞</v>
      </c>
      <c r="J9" s="3" t="str">
        <v>未开始</v>
      </c>
    </row>
    <row customHeight="true" ht="36" r="10">
      <c r="A10" s="1" t="str">
        <v>讯飞服务迁移</v>
      </c>
      <c r="B10" s="1" t="str">
        <v>网络关系梳理</v>
      </c>
      <c r="C10" s="5" t="str">
        <v>根据天翼云迁移后机器网络，进行网络关系梳理</v>
      </c>
      <c r="D10" s="5"/>
      <c r="E10" s="2">
        <f>F9</f>
      </c>
      <c r="F10" s="10">
        <f>WORKDAY.INTL(E10,G10)</f>
      </c>
      <c r="G10" s="3">
        <v>5</v>
      </c>
      <c r="H10" s="39" t="str">
        <v>陈亚男</v>
      </c>
      <c r="I10" s="3" t="str">
        <v>讯飞</v>
      </c>
      <c r="J10" s="3" t="str">
        <v>未开始</v>
      </c>
    </row>
    <row customHeight="true" ht="34" r="11">
      <c r="A11" s="1" t="str">
        <v>讯飞方案设计</v>
      </c>
      <c r="B11" s="1" t="str">
        <v>计划输出</v>
      </c>
      <c r="C11" s="5" t="str">
        <v>产品改造详细计划输出</v>
      </c>
      <c r="D11" s="5" t="str">
        <v>1、涉及产品改造方案输出
2、方案评审</v>
      </c>
      <c r="E11" s="2">
        <f>E7</f>
      </c>
      <c r="F11" s="2">
        <f>WORKDAY.INTL(E11,G11)</f>
      </c>
      <c r="G11" s="3">
        <v>20</v>
      </c>
      <c r="H11" s="3" t="str">
        <v>待协调1</v>
      </c>
      <c r="I11" s="3" t="str">
        <v>讯飞</v>
      </c>
      <c r="J11" s="3" t="str">
        <v>未开始</v>
      </c>
    </row>
    <row customHeight="true" ht="34" r="12">
      <c r="A12" s="1" t="str">
        <v>讯飞方案设计</v>
      </c>
      <c r="B12" s="1" t="str">
        <v>计划输出</v>
      </c>
      <c r="C12" s="5" t="str">
        <v>中间件详细计划输出</v>
      </c>
      <c r="D12" s="5" t="str">
        <v>1、涉及中间件改造方案输出
2、方案评审</v>
      </c>
      <c r="E12" s="2">
        <f>E7</f>
      </c>
      <c r="F12" s="2">
        <f>WORKDAY.INTL(E12,G12)</f>
      </c>
      <c r="G12" s="3">
        <v>20</v>
      </c>
      <c r="H12" s="3" t="str">
        <v>待协调2</v>
      </c>
      <c r="I12" s="3" t="str">
        <v>讯飞</v>
      </c>
      <c r="J12" s="3" t="str">
        <v>未开始</v>
      </c>
    </row>
    <row customHeight="true" ht="34" r="13">
      <c r="A13" s="1" t="str">
        <v>讯飞方案设计</v>
      </c>
      <c r="B13" s="1" t="str">
        <v>方案验证</v>
      </c>
      <c r="C13" s="5" t="str">
        <v>产品方案验证</v>
      </c>
      <c r="D13" s="5" t="str">
        <v>1、方案验证</v>
      </c>
      <c r="E13" s="2">
        <f>F11</f>
      </c>
      <c r="F13" s="10">
        <f>WORKDAY.INTL(E13,G13)</f>
      </c>
      <c r="G13" s="3">
        <v>20</v>
      </c>
      <c r="H13" s="3" t="str">
        <v>待协调1</v>
      </c>
      <c r="I13" s="3" t="str">
        <v>讯飞</v>
      </c>
      <c r="J13" s="3" t="str">
        <v>未开始</v>
      </c>
    </row>
    <row customHeight="true" ht="34" r="14">
      <c r="A14" s="1" t="str">
        <v>讯飞方案设计</v>
      </c>
      <c r="B14" s="1" t="str">
        <v>方案验证</v>
      </c>
      <c r="C14" s="5" t="str">
        <v>中间件方案验证</v>
      </c>
      <c r="D14" s="5" t="str">
        <v>1、方案验证</v>
      </c>
      <c r="E14" s="2">
        <f>F12</f>
      </c>
      <c r="F14" s="10">
        <f>WORKDAY.INTL(E14,G14)</f>
      </c>
      <c r="G14" s="3">
        <v>20</v>
      </c>
      <c r="H14" s="3" t="str">
        <v>待协调2</v>
      </c>
      <c r="I14" s="3" t="str">
        <v>讯飞</v>
      </c>
      <c r="J14" s="3" t="str">
        <v>未开始</v>
      </c>
    </row>
    <row customHeight="true" ht="19" r="15">
      <c r="A15" s="1" t="str">
        <v>讯飞服务改造</v>
      </c>
      <c r="B15" s="1" t="str">
        <v>语音系统改造</v>
      </c>
      <c r="C15" s="5" t="str">
        <v>AICC座席工作台</v>
      </c>
      <c r="D15" s="5" t="str">
        <v>1、应用改造、验证</v>
      </c>
      <c r="E15" s="2">
        <f>F12</f>
      </c>
      <c r="F15" s="2">
        <f>WORKDAY.INTL(E15,G15)</f>
      </c>
      <c r="G15" s="3">
        <v>30</v>
      </c>
      <c r="H15" s="3" t="str">
        <v>待协调1</v>
      </c>
      <c r="I15" s="3" t="str">
        <v>讯飞</v>
      </c>
      <c r="J15" s="3" t="str">
        <v>未开始</v>
      </c>
    </row>
    <row customHeight="true" ht="19" r="16">
      <c r="A16" s="1" t="str">
        <v>讯飞服务改造</v>
      </c>
      <c r="B16" s="1" t="str">
        <v>语音系统改造</v>
      </c>
      <c r="C16" s="5" t="str">
        <v>软交换平台</v>
      </c>
      <c r="D16" s="5" t="str">
        <v>1、应用改造、验证</v>
      </c>
      <c r="E16" s="2">
        <f>F12</f>
      </c>
      <c r="F16" s="2">
        <f>WORKDAY.INTL(E16,G16)</f>
      </c>
      <c r="G16" s="3">
        <v>30</v>
      </c>
      <c r="H16" s="3" t="str">
        <v>待协调2</v>
      </c>
      <c r="I16" s="3" t="str">
        <v>讯飞</v>
      </c>
      <c r="J16" s="3" t="str">
        <v>未开始</v>
      </c>
    </row>
    <row customHeight="true" ht="19" r="17">
      <c r="A17" s="1" t="str">
        <v>讯飞服务改造</v>
      </c>
      <c r="B17" s="1" t="str">
        <v>在线系统改造</v>
      </c>
      <c r="C17" s="5" t="str">
        <v>IM文字客服</v>
      </c>
      <c r="D17" s="5" t="str">
        <v>1、应用改造、验证</v>
      </c>
      <c r="E17" s="2">
        <f>F12</f>
      </c>
      <c r="F17" s="2">
        <f>WORKDAY.INTL(E17,G17)</f>
      </c>
      <c r="G17" s="3">
        <v>30</v>
      </c>
      <c r="H17" s="3" t="str">
        <v>待协调3</v>
      </c>
      <c r="I17" s="3" t="str">
        <v>讯飞</v>
      </c>
      <c r="J17" s="3" t="str">
        <v>未开始</v>
      </c>
      <c r="K17" s="9"/>
    </row>
    <row customHeight="true" ht="19" r="18">
      <c r="A18" s="1" t="str">
        <v>讯飞服务改造</v>
      </c>
      <c r="B18" s="1" t="str">
        <v>智能化服务改造</v>
      </c>
      <c r="C18" s="5" t="str">
        <v>融智知识库</v>
      </c>
      <c r="D18" s="5" t="str">
        <v>1、应用改造、验证</v>
      </c>
      <c r="E18" s="2">
        <f>F12</f>
      </c>
      <c r="F18" s="2">
        <f>WORKDAY.INTL(E18,G18)</f>
      </c>
      <c r="G18" s="3">
        <v>30</v>
      </c>
      <c r="H18" s="3" t="str">
        <v>待协调4</v>
      </c>
      <c r="I18" s="3" t="str">
        <v>讯飞</v>
      </c>
      <c r="J18" s="3" t="str">
        <v>未开始</v>
      </c>
      <c r="K18" s="9"/>
    </row>
    <row customHeight="true" ht="19" r="19">
      <c r="A19" s="35" t="str">
        <v>讯飞服务改造</v>
      </c>
      <c r="B19" s="35" t="str">
        <v>智能化服务改造</v>
      </c>
      <c r="C19" s="36" t="str">
        <v>AI+管理平台</v>
      </c>
      <c r="D19" s="36"/>
      <c r="E19" s="37"/>
      <c r="F19" s="37"/>
      <c r="G19" s="38">
        <v>30</v>
      </c>
      <c r="H19" s="38"/>
      <c r="I19" s="38" t="str">
        <v>讯飞</v>
      </c>
      <c r="J19" s="38" t="str">
        <v>未开始</v>
      </c>
      <c r="K19" s="34"/>
    </row>
    <row customHeight="true" ht="19" r="20">
      <c r="A20" s="35" t="str">
        <v>讯飞服务改造</v>
      </c>
      <c r="B20" s="35" t="str">
        <v>智能化服务改造</v>
      </c>
      <c r="C20" s="36" t="str">
        <v>智能外呼</v>
      </c>
      <c r="D20" s="36"/>
      <c r="E20" s="37"/>
      <c r="F20" s="37"/>
      <c r="G20" s="38">
        <v>30</v>
      </c>
      <c r="H20" s="38"/>
      <c r="I20" s="38" t="str">
        <v>讯飞</v>
      </c>
      <c r="J20" s="38" t="str">
        <v>未开始</v>
      </c>
      <c r="K20" s="34"/>
    </row>
    <row customHeight="true" ht="19" r="21">
      <c r="A21" s="35" t="str">
        <v>讯飞服务改造</v>
      </c>
      <c r="B21" s="35" t="str">
        <v>智能化服务改造</v>
      </c>
      <c r="C21" s="36" t="str">
        <v>智能质检</v>
      </c>
      <c r="D21" s="36"/>
      <c r="E21" s="37"/>
      <c r="F21" s="37"/>
      <c r="G21" s="38">
        <v>30</v>
      </c>
      <c r="H21" s="38"/>
      <c r="I21" s="38" t="str">
        <v>讯飞</v>
      </c>
      <c r="J21" s="38" t="str">
        <v>未开始</v>
      </c>
      <c r="K21" s="34" t="str">
        <v>补充到1.5人月</v>
      </c>
    </row>
    <row customHeight="true" ht="19" r="22">
      <c r="A22" s="35" t="str">
        <v>讯飞服务改造</v>
      </c>
      <c r="B22" s="35" t="str">
        <v>智能化服务改造</v>
      </c>
      <c r="C22" s="36" t="str">
        <v>智能助手</v>
      </c>
      <c r="D22" s="36"/>
      <c r="E22" s="37"/>
      <c r="F22" s="37"/>
      <c r="G22" s="38">
        <v>30</v>
      </c>
      <c r="H22" s="38"/>
      <c r="I22" s="38" t="str">
        <v>讯飞</v>
      </c>
      <c r="J22" s="38" t="str">
        <v>未开始</v>
      </c>
      <c r="K22" s="34"/>
    </row>
    <row customHeight="true" ht="19" r="23">
      <c r="A23" s="35" t="str">
        <v>讯飞服务改造</v>
      </c>
      <c r="B23" s="35" t="str">
        <v>周边服务改造</v>
      </c>
      <c r="C23" s="36" t="str">
        <v>人工质检</v>
      </c>
      <c r="D23" s="36"/>
      <c r="E23" s="37"/>
      <c r="F23" s="37"/>
      <c r="G23" s="38">
        <v>30</v>
      </c>
      <c r="H23" s="38"/>
      <c r="I23" s="38" t="str">
        <v>讯飞</v>
      </c>
      <c r="J23" s="38" t="str">
        <v>未开始</v>
      </c>
      <c r="K23" s="34"/>
    </row>
    <row customHeight="true" ht="19" r="24">
      <c r="A24" s="1" t="str">
        <v>讯飞服务改造</v>
      </c>
      <c r="B24" s="1" t="str">
        <v>周边服务改造</v>
      </c>
      <c r="C24" s="5" t="str">
        <v>UAP</v>
      </c>
      <c r="D24" s="5" t="str">
        <v>1、应用改造、验证</v>
      </c>
      <c r="E24" s="2">
        <f>F12</f>
      </c>
      <c r="F24" s="2">
        <f>WORKDAY.INTL(E24,G24)</f>
      </c>
      <c r="G24" s="3">
        <v>30</v>
      </c>
      <c r="H24" s="3" t="str">
        <v>待协调3</v>
      </c>
      <c r="I24" s="3" t="str">
        <v>讯飞</v>
      </c>
      <c r="J24" s="3" t="str">
        <v>未开始</v>
      </c>
    </row>
    <row customHeight="true" ht="19" r="25">
      <c r="A25" s="35" t="str">
        <v>讯飞服务改造</v>
      </c>
      <c r="B25" s="35" t="str">
        <v>周边服务改造</v>
      </c>
      <c r="C25" s="36" t="str">
        <v>监控平台</v>
      </c>
      <c r="D25" s="36"/>
      <c r="E25" s="37"/>
      <c r="F25" s="37"/>
      <c r="G25" s="38">
        <v>30</v>
      </c>
      <c r="H25" s="38"/>
      <c r="I25" s="38" t="str">
        <v>讯飞</v>
      </c>
      <c r="J25" s="38" t="str">
        <v>未开始</v>
      </c>
      <c r="K25" s="34"/>
    </row>
    <row customHeight="true" ht="19" r="26">
      <c r="A26" s="35" t="str">
        <v>讯飞服务改造</v>
      </c>
      <c r="B26" s="35" t="str">
        <v>数据服务改造</v>
      </c>
      <c r="C26" s="36" t="str">
        <v>数据运营/能力平台</v>
      </c>
      <c r="D26" s="36"/>
      <c r="E26" s="37"/>
      <c r="F26" s="37"/>
      <c r="G26" s="38">
        <v>30</v>
      </c>
      <c r="H26" s="38"/>
      <c r="I26" s="38" t="str">
        <v>讯飞</v>
      </c>
      <c r="J26" s="38" t="str">
        <v>未开始</v>
      </c>
      <c r="K26" s="34"/>
    </row>
    <row customHeight="true" ht="19" r="27">
      <c r="A27" s="1" t="str">
        <v>讯飞服务改造</v>
      </c>
      <c r="B27" s="1" t="str">
        <v>存储系统改造</v>
      </c>
      <c r="C27" s="5" t="str">
        <v>Storage\S3协议对接等</v>
      </c>
      <c r="D27" s="5"/>
      <c r="E27" s="2">
        <f>F12</f>
      </c>
      <c r="F27" s="2">
        <f>WORKDAY.INTL(E27,G27)</f>
      </c>
      <c r="G27" s="3">
        <v>30</v>
      </c>
      <c r="H27" s="3" t="str">
        <v>待协调4</v>
      </c>
      <c r="I27" s="3" t="str">
        <v>讯飞</v>
      </c>
      <c r="J27" s="3" t="str">
        <v>未开始</v>
      </c>
    </row>
    <row r="28">
      <c r="A28" s="1" t="str">
        <v>讯飞服务改造</v>
      </c>
      <c r="B28" s="1" t="str">
        <v>中间件同步工具研发</v>
      </c>
      <c r="C28" s="5" t="str">
        <v>天翼云无法上云中间件改造</v>
      </c>
      <c r="D28" s="5" t="str">
        <v>1、中间件双中心方案</v>
      </c>
      <c r="E28" s="2">
        <f>F12</f>
      </c>
      <c r="F28" s="2">
        <f>WORKDAY.INTL(E28,G28)</f>
      </c>
      <c r="G28" s="3">
        <v>60</v>
      </c>
      <c r="H28" s="3" t="str">
        <v>待协调2</v>
      </c>
      <c r="I28" s="3" t="str">
        <v>讯飞</v>
      </c>
      <c r="J28" s="3" t="str">
        <v>未开始</v>
      </c>
    </row>
    <row customHeight="true" ht="36" r="29">
      <c r="A29" s="1" t="str">
        <v>讯飞服务迁移</v>
      </c>
      <c r="B29" s="1" t="str">
        <v>服务迁移</v>
      </c>
      <c r="C29" s="5" t="str">
        <v>根据实际情况、迁移应用服务、中间件</v>
      </c>
      <c r="D29" s="5"/>
      <c r="E29" s="2">
        <f>E11</f>
      </c>
      <c r="F29" s="2">
        <f>WORKDAY.INTL(E29,G29)</f>
      </c>
      <c r="G29" s="3">
        <v>20</v>
      </c>
      <c r="H29" s="3" t="str">
        <v>朱靖</v>
      </c>
      <c r="I29" s="3" t="str">
        <v>讯飞</v>
      </c>
      <c r="J29" s="3" t="str">
        <v>未开始</v>
      </c>
    </row>
    <row customHeight="true" ht="36" r="30">
      <c r="A30" s="1" t="str">
        <v>讯飞服务部署</v>
      </c>
      <c r="B30" s="1" t="str">
        <v>双中心部署</v>
      </c>
      <c r="C30" s="5" t="str">
        <v>根据实际情况、调整应用服务、中间件部署情况</v>
      </c>
      <c r="D30" s="5"/>
      <c r="E30" s="2">
        <f>F29</f>
      </c>
      <c r="F30" s="10">
        <f>WORKDAY.INTL(E30,G30)</f>
      </c>
      <c r="G30" s="3">
        <v>20</v>
      </c>
      <c r="H30" s="3" t="str">
        <v>朱靖</v>
      </c>
      <c r="I30" s="3" t="str">
        <v>讯飞</v>
      </c>
      <c r="J30" s="3" t="str">
        <v>未开始</v>
      </c>
    </row>
    <row customHeight="true" ht="36" r="31">
      <c r="A31" s="1" t="str">
        <v>讯飞服务验证</v>
      </c>
      <c r="B31" s="1" t="str">
        <v>双中心</v>
      </c>
      <c r="C31" s="5" t="str">
        <v>验证双中心功能</v>
      </c>
      <c r="D31" s="5"/>
      <c r="E31" s="2">
        <f>F30</f>
      </c>
      <c r="F31" s="2">
        <f>WORKDAY.INTL(E31,G31)</f>
      </c>
      <c r="G31" s="3">
        <v>10</v>
      </c>
      <c r="H31" s="3" t="str">
        <v>朱靖</v>
      </c>
      <c r="I31" s="3" t="str">
        <v>讯飞</v>
      </c>
      <c r="J31" s="3" t="str">
        <v>未开始</v>
      </c>
    </row>
    <row r="32">
      <c r="A32" s="1" t="str">
        <v>试运行</v>
      </c>
      <c r="B32" s="1" t="str">
        <v>双中心双活试运行</v>
      </c>
      <c r="C32" s="5" t="str">
        <v>根据双中心情况，试运行单中心
双中心
双中心切换试运行</v>
      </c>
      <c r="D32" s="5"/>
      <c r="E32" s="2">
        <f>F31</f>
      </c>
      <c r="F32" s="2">
        <f>WORKDAY.INTL(E32,G32)</f>
      </c>
      <c r="G32" s="3">
        <v>10</v>
      </c>
      <c r="H32" s="3" t="str">
        <v>朱靖</v>
      </c>
      <c r="I32" s="3" t="str">
        <v>讯飞</v>
      </c>
      <c r="J32" s="3" t="str">
        <v>未开始</v>
      </c>
    </row>
    <row customHeight="true" ht="19" r="33">
      <c r="A33" s="1" t="str">
        <v>试运行</v>
      </c>
      <c r="B33" s="1" t="str">
        <v>双中心双活正式运行</v>
      </c>
      <c r="C33" s="5" t="str">
        <v>正式运行后运维</v>
      </c>
      <c r="D33" s="5"/>
      <c r="E33" s="2">
        <f>F32</f>
      </c>
      <c r="F33" s="2">
        <f>WORKDAY.INTL(E33,G33)</f>
      </c>
      <c r="G33" s="3">
        <v>20</v>
      </c>
      <c r="H33" s="3" t="str">
        <v>朱靖</v>
      </c>
      <c r="I33" s="3" t="str">
        <v>讯飞</v>
      </c>
      <c r="J33" s="3" t="str">
        <v>未开始</v>
      </c>
    </row>
    <row customHeight="true" ht="19" r="34">
      <c r="A34" s="1" t="str">
        <v>回退</v>
      </c>
      <c r="B34" s="1" t="str">
        <v>回退</v>
      </c>
      <c r="C34" s="5" t="str">
        <v>双中心运行失败，整体回退</v>
      </c>
      <c r="D34" s="5"/>
      <c r="E34" s="2">
        <f>F33</f>
      </c>
      <c r="F34" s="2">
        <f>WORKDAY.INTL(E34,G34)</f>
      </c>
      <c r="G34" s="3">
        <v>20</v>
      </c>
      <c r="H34" s="3" t="str">
        <v>朱靖</v>
      </c>
      <c r="I34" s="3" t="str">
        <v>讯飞</v>
      </c>
      <c r="J34" s="3" t="str">
        <v>未开始</v>
      </c>
    </row>
    <row r="35">
      <c r="A35" s="1"/>
      <c r="B35" s="1"/>
      <c r="C35" s="5"/>
      <c r="D35" s="5"/>
      <c r="E35" s="2"/>
      <c r="F35" s="2"/>
      <c r="G35" s="3">
        <f>SUM(G2:G34)</f>
      </c>
      <c r="H35" s="3"/>
      <c r="I35" s="3" t="str">
        <v>讯飞</v>
      </c>
      <c r="J35" s="3"/>
    </row>
  </sheetData>
  <dataValidations count="1">
    <dataValidation allowBlank="true" errorStyle="stop" showErrorMessage="true" sqref="J2:J35" type="list">
      <formula1>"已完成,未开始,未通过,进行中"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2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10"/>
  </cols>
  <sheetData>
    <row r="1">
      <c r="A1" s="12" t="str">
        <v>大类</v>
      </c>
      <c r="B1" s="12" t="str">
        <v>小类</v>
      </c>
      <c r="C1" s="12" t="str">
        <v>功能调整点</v>
      </c>
      <c r="D1" s="12" t="str">
        <v>详细内容</v>
      </c>
      <c r="E1" s="14" t="str">
        <v>开始时间</v>
      </c>
      <c r="F1" s="14" t="str">
        <v>完成时间</v>
      </c>
      <c r="G1" s="12" t="str">
        <v>工作量预估</v>
      </c>
      <c r="H1" s="12" t="str">
        <v>负责人</v>
      </c>
      <c r="I1" s="12" t="str">
        <v>负责方</v>
      </c>
      <c r="J1" s="12" t="str">
        <v>状态</v>
      </c>
    </row>
    <row r="2">
      <c r="A2" s="1" t="str">
        <v>天翼云迁移</v>
      </c>
      <c r="B2" s="1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3"/>
      <c r="F2" s="3" t="str">
        <v>T</v>
      </c>
      <c r="G2" s="3">
        <v>5</v>
      </c>
      <c r="H2" s="3"/>
      <c r="I2" s="3" t="str">
        <v>天翼云</v>
      </c>
      <c r="J2" s="3" t="str">
        <v>进行中</v>
      </c>
    </row>
    <row customHeight="true" ht="34" r="3">
      <c r="A3" s="1" t="str">
        <v>天翼云迁移</v>
      </c>
      <c r="B3" s="1" t="str">
        <v>环境搭建</v>
      </c>
      <c r="C3" s="5" t="str">
        <v>开通北京 5 至华北的临时专线，在华北开通迁移所 需的全部资源</v>
      </c>
      <c r="D3" s="5"/>
      <c r="E3" s="3"/>
      <c r="F3" s="3"/>
      <c r="G3" s="3">
        <v>5</v>
      </c>
      <c r="H3" s="3"/>
      <c r="I3" s="3" t="str">
        <v>天翼云</v>
      </c>
      <c r="J3" s="3"/>
    </row>
    <row customHeight="true" ht="34" r="4">
      <c r="A4" s="1" t="str">
        <v>天翼云迁移</v>
      </c>
      <c r="B4" s="1" t="str">
        <v>数据迁移</v>
      </c>
      <c r="C4" s="5" t="str">
        <v>通过迁移工具对云主机、弹性文件、对象存储、 RDS 数据库进行数据迁</v>
      </c>
      <c r="D4" s="5"/>
      <c r="E4" s="3"/>
      <c r="F4" s="3"/>
      <c r="G4" s="3">
        <v>20</v>
      </c>
      <c r="H4" s="3"/>
      <c r="I4" s="3" t="str">
        <v>天翼云</v>
      </c>
      <c r="J4" s="3"/>
    </row>
    <row customHeight="true" ht="34" r="5">
      <c r="A5" s="1" t="str">
        <v>天翼云迁移</v>
      </c>
      <c r="B5" s="1" t="str">
        <v>割接准备</v>
      </c>
      <c r="C5" s="5" t="str">
        <v>制定割接计划、完成备线割接、明确各环节操作及 保障人员</v>
      </c>
      <c r="D5" s="5"/>
      <c r="E5" s="3"/>
      <c r="F5" s="3"/>
      <c r="G5" s="3">
        <v>3</v>
      </c>
      <c r="H5" s="3"/>
      <c r="I5" s="3" t="str">
        <v>天翼云</v>
      </c>
      <c r="J5" s="3"/>
    </row>
    <row customHeight="true" ht="34" r="6">
      <c r="A6" s="1" t="str">
        <v>天翼云迁移</v>
      </c>
      <c r="B6" s="1" t="str">
        <v>业务割接</v>
      </c>
      <c r="C6" s="5" t="str">
        <v>按割接方案进行业务割接并验证，迁移完成</v>
      </c>
      <c r="D6" s="5"/>
      <c r="E6" s="3"/>
      <c r="F6" s="3"/>
      <c r="G6" s="3">
        <v>1</v>
      </c>
      <c r="H6" s="3"/>
      <c r="I6" s="3" t="str">
        <v>天翼云</v>
      </c>
      <c r="J6" s="3"/>
    </row>
    <row customHeight="true" ht="34" r="7">
      <c r="A7" s="1" t="str">
        <v>讯飞方案设计</v>
      </c>
      <c r="B7" s="1" t="str">
        <v>方案整理</v>
      </c>
      <c r="C7" s="5" t="str">
        <v>整体双中心双活计划</v>
      </c>
      <c r="D7" s="5" t="str">
        <v>1、完成整体建设计划编写、相关资源协调</v>
      </c>
      <c r="E7" s="40">
        <v>45500</v>
      </c>
      <c r="F7" s="10">
        <f>WORKDAY.INTL(E7,G7)</f>
      </c>
      <c r="G7" s="3">
        <v>5</v>
      </c>
      <c r="H7" s="3" t="str">
        <v>陈亚男</v>
      </c>
      <c r="I7" s="3" t="str">
        <v>讯飞</v>
      </c>
      <c r="J7" s="3" t="str">
        <v>未开始</v>
      </c>
    </row>
    <row customHeight="true" ht="34" r="8">
      <c r="A8" s="1" t="str">
        <v>讯飞方案设计</v>
      </c>
      <c r="B8" s="1" t="str">
        <v>方案整理</v>
      </c>
      <c r="C8" s="5" t="str">
        <v>整体双中心双活计划</v>
      </c>
      <c r="D8" s="5" t="str">
        <v>2、完成建设计划内部评审、优化调整</v>
      </c>
      <c r="E8" s="2">
        <f>F7</f>
      </c>
      <c r="F8" s="10">
        <f>WORKDAY.INTL(E8,G8)</f>
      </c>
      <c r="G8" s="3">
        <v>5</v>
      </c>
      <c r="H8" s="3" t="str">
        <v>陈亚男</v>
      </c>
      <c r="I8" s="3" t="str">
        <v>讯飞</v>
      </c>
      <c r="J8" s="3" t="str">
        <v>未开始</v>
      </c>
    </row>
    <row r="9">
      <c r="A9" s="1" t="str">
        <v>讯飞方案设计</v>
      </c>
      <c r="B9" s="1" t="str">
        <v>方案评估</v>
      </c>
      <c r="C9" s="5" t="str">
        <v>详细方案</v>
      </c>
      <c r="D9" s="5" t="str">
        <v>1、完成详细方案设计
</v>
      </c>
      <c r="E9" s="2">
        <f>F8</f>
      </c>
      <c r="F9" s="2">
        <f>WORKDAY.INTL(E9,G9)</f>
      </c>
      <c r="G9" s="3">
        <v>10</v>
      </c>
      <c r="H9" s="3" t="str">
        <v>陈亚男</v>
      </c>
      <c r="I9" s="3" t="str">
        <v>讯飞</v>
      </c>
      <c r="J9" s="3" t="str">
        <v>未开始</v>
      </c>
    </row>
    <row customHeight="true" ht="45" r="10">
      <c r="A10" s="1" t="str">
        <v>讯飞方案设计</v>
      </c>
      <c r="B10" s="1" t="str">
        <v>方案评估</v>
      </c>
      <c r="C10" s="5" t="str">
        <v>详细方案</v>
      </c>
      <c r="D10" s="5" t="str">
        <v>2、完成详细方案应用可行性验证</v>
      </c>
      <c r="E10" s="2">
        <f>F9</f>
      </c>
      <c r="F10" s="2">
        <f>WORKDAY.INTL(E10,G10)</f>
      </c>
      <c r="G10" s="3">
        <v>10</v>
      </c>
      <c r="H10" s="3" t="str">
        <v>陈亚男</v>
      </c>
      <c r="I10" s="3" t="str">
        <v>讯飞</v>
      </c>
      <c r="J10" s="3" t="str">
        <v>未开始</v>
      </c>
    </row>
    <row customHeight="true" ht="45" r="11">
      <c r="A11" s="1" t="str">
        <v>讯飞方案设计</v>
      </c>
      <c r="B11" s="1" t="str">
        <v>方案评估</v>
      </c>
      <c r="C11" s="5" t="str">
        <v>详细方案</v>
      </c>
      <c r="D11" s="5" t="str">
        <v>3、完成详细方案中间件可行性验证</v>
      </c>
      <c r="E11" s="2">
        <f>F10</f>
      </c>
      <c r="F11" s="2">
        <f>WORKDAY.INTL(E11,G11)</f>
      </c>
      <c r="G11" s="3">
        <v>5</v>
      </c>
      <c r="H11" s="3" t="str">
        <v>陈亚男</v>
      </c>
      <c r="I11" s="3" t="str">
        <v>讯飞</v>
      </c>
      <c r="J11" s="3" t="str">
        <v>未开始</v>
      </c>
    </row>
    <row customHeight="true" ht="45" r="12">
      <c r="A12" s="1" t="str">
        <v>讯飞方案设计</v>
      </c>
      <c r="B12" s="1" t="str">
        <v>方案评估</v>
      </c>
      <c r="C12" s="5" t="str">
        <v>详细方案</v>
      </c>
      <c r="D12" s="5" t="str">
        <v>4、完成详细方案评审</v>
      </c>
      <c r="E12" s="2">
        <f>F11</f>
      </c>
      <c r="F12" s="2">
        <f>WORKDAY.INTL(E12,G12)</f>
      </c>
      <c r="G12" s="3">
        <v>5</v>
      </c>
      <c r="H12" s="3" t="str">
        <v>陈亚男</v>
      </c>
      <c r="I12" s="3" t="str">
        <v>讯飞</v>
      </c>
      <c r="J12" s="3" t="str">
        <v>未开始</v>
      </c>
    </row>
    <row customHeight="true" ht="45" r="13">
      <c r="A13" s="1" t="str">
        <v>讯飞方案设计</v>
      </c>
      <c r="B13" s="1" t="str">
        <v>方案评估</v>
      </c>
      <c r="C13" s="5" t="str">
        <v>详细方案</v>
      </c>
      <c r="D13" s="5" t="str">
        <v>4、完成详细方案修改</v>
      </c>
      <c r="E13" s="2">
        <f>F12</f>
      </c>
      <c r="F13" s="2">
        <f>WORKDAY.INTL(E13,G13)</f>
      </c>
      <c r="G13" s="3">
        <v>10</v>
      </c>
      <c r="H13" s="3" t="str">
        <v>陈亚男</v>
      </c>
      <c r="I13" s="3" t="str">
        <v>讯飞</v>
      </c>
      <c r="J13" s="3"/>
    </row>
    <row customHeight="true" ht="45" r="14">
      <c r="A14" s="1" t="str">
        <v>讯飞方案设计</v>
      </c>
      <c r="B14" s="1" t="str">
        <v>方案执行</v>
      </c>
      <c r="C14" s="5" t="str">
        <v>详细方案方案执行跟踪</v>
      </c>
      <c r="D14" s="5" t="str">
        <v>5、完成融通侧双中心服务器资源协调与建设计划同步
6、跟踪整体建设方案、进度</v>
      </c>
      <c r="E14" s="2">
        <f>F13</f>
      </c>
      <c r="F14" s="2">
        <f>WORKDAY.INTL(E14,G14)</f>
      </c>
      <c r="G14" s="3">
        <v>60</v>
      </c>
      <c r="H14" s="3" t="str">
        <v>陈亚男</v>
      </c>
      <c r="I14" s="3" t="str">
        <v>讯飞</v>
      </c>
      <c r="J14" s="3" t="str">
        <v>未开始</v>
      </c>
    </row>
    <row customHeight="true" ht="19" r="15">
      <c r="A15" s="1" t="str">
        <v>讯飞方案设计</v>
      </c>
      <c r="B15" s="1" t="str">
        <v>资源评估</v>
      </c>
      <c r="C15" s="5" t="str">
        <v>根据天翼云规划的机器进行应用服务规划</v>
      </c>
      <c r="D15" s="5" t="str">
        <v>1、将单中心、双集群梳理为双中心双集群</v>
      </c>
      <c r="E15" s="2">
        <f>F8</f>
      </c>
      <c r="F15" s="2">
        <f>WORKDAY.INTL(E15,G15)</f>
      </c>
      <c r="G15" s="3">
        <v>5</v>
      </c>
      <c r="H15" s="3" t="str">
        <v>待协调3</v>
      </c>
      <c r="I15" s="3" t="str">
        <v>讯飞</v>
      </c>
      <c r="J15" s="3" t="str">
        <v>未开始</v>
      </c>
    </row>
    <row customHeight="true" ht="36" r="16">
      <c r="A16" s="1" t="str">
        <v>讯飞服务迁移</v>
      </c>
      <c r="B16" s="1" t="str">
        <v>网络关系梳理</v>
      </c>
      <c r="C16" s="5" t="str">
        <v>根据天翼云迁移后机器网络，进行网络关系梳理</v>
      </c>
      <c r="D16" s="5" t="str">
        <v>1、梳理双中心网络关系</v>
      </c>
      <c r="E16" s="2">
        <f>F15</f>
      </c>
      <c r="F16" s="10">
        <f>WORKDAY.INTL(E16,G16)</f>
      </c>
      <c r="G16" s="3">
        <v>5</v>
      </c>
      <c r="H16" s="3" t="str">
        <v>待协调3</v>
      </c>
      <c r="I16" s="3" t="str">
        <v>讯飞</v>
      </c>
      <c r="J16" s="3" t="str">
        <v>未开始</v>
      </c>
    </row>
    <row customHeight="true" ht="34" r="17">
      <c r="A17" s="1" t="str">
        <v>讯飞方案设计</v>
      </c>
      <c r="B17" s="1" t="str">
        <v>计划输出</v>
      </c>
      <c r="C17" s="5" t="str">
        <v>产品改造详细计划输出</v>
      </c>
      <c r="D17" s="5" t="str">
        <v>1、涉及产品改造方案输出</v>
      </c>
      <c r="E17" s="2">
        <f>E9</f>
      </c>
      <c r="F17" s="2">
        <f>WORKDAY.INTL(E17,G17)</f>
      </c>
      <c r="G17" s="3">
        <v>10</v>
      </c>
      <c r="H17" s="3" t="str">
        <v>待协调1</v>
      </c>
      <c r="I17" s="3" t="str">
        <v>讯飞</v>
      </c>
      <c r="J17" s="3" t="str">
        <v>未开始</v>
      </c>
    </row>
    <row customHeight="true" ht="34" r="18">
      <c r="A18" s="1" t="str">
        <v>讯飞方案设计</v>
      </c>
      <c r="B18" s="1" t="str">
        <v>计划输出</v>
      </c>
      <c r="C18" s="5" t="str">
        <v>产品改造详细计划输出</v>
      </c>
      <c r="D18" s="5" t="str">
        <v>2、涉及产品改造方案方案评审</v>
      </c>
      <c r="E18" s="2">
        <f>F17</f>
      </c>
      <c r="F18" s="2">
        <f>WORKDAY.INTL(E18,G18)</f>
      </c>
      <c r="G18" s="3">
        <v>10</v>
      </c>
      <c r="H18" s="3" t="str">
        <v>待协调1</v>
      </c>
      <c r="I18" s="3" t="str">
        <v>讯飞</v>
      </c>
      <c r="J18" s="3" t="str">
        <v>未开始</v>
      </c>
    </row>
    <row customHeight="true" ht="34" r="19">
      <c r="A19" s="1" t="str">
        <v>讯飞方案设计</v>
      </c>
      <c r="B19" s="1" t="str">
        <v>方案验证</v>
      </c>
      <c r="C19" s="5" t="str">
        <v>产品方案验证</v>
      </c>
      <c r="D19" s="5" t="str">
        <v>3、方案验证</v>
      </c>
      <c r="E19" s="2">
        <f>F18</f>
      </c>
      <c r="F19" s="10">
        <f>WORKDAY.INTL(E19,G19)</f>
      </c>
      <c r="G19" s="3">
        <v>10</v>
      </c>
      <c r="H19" s="3" t="str">
        <v>待协调1</v>
      </c>
      <c r="I19" s="3" t="str">
        <v>讯飞</v>
      </c>
      <c r="J19" s="3" t="str">
        <v>未开始</v>
      </c>
    </row>
    <row customHeight="true" ht="34" r="20">
      <c r="A20" s="1" t="str">
        <v>讯飞方案设计</v>
      </c>
      <c r="B20" s="1" t="str">
        <v>方案验证</v>
      </c>
      <c r="C20" s="5" t="str">
        <v>产品方案调整</v>
      </c>
      <c r="D20" s="5" t="str">
        <v>4、方案调整</v>
      </c>
      <c r="E20" s="2">
        <f>F19</f>
      </c>
      <c r="F20" s="10">
        <f>WORKDAY.INTL(E20,G20)</f>
      </c>
      <c r="G20" s="3">
        <v>10</v>
      </c>
      <c r="H20" s="3" t="str">
        <v>待协调1</v>
      </c>
      <c r="I20" s="3" t="str">
        <v>讯飞</v>
      </c>
      <c r="J20" s="3" t="str">
        <v>未开始</v>
      </c>
    </row>
    <row customHeight="true" ht="34" r="21">
      <c r="A21" s="1" t="str">
        <v>讯飞方案设计</v>
      </c>
      <c r="B21" s="1" t="str">
        <v>计划输出</v>
      </c>
      <c r="C21" s="5" t="str">
        <v>中间件详细计划输出</v>
      </c>
      <c r="D21" s="5" t="str">
        <v>1、涉及中间件改造方案输出
</v>
      </c>
      <c r="E21" s="2">
        <f>E9</f>
      </c>
      <c r="F21" s="2">
        <f>WORKDAY.INTL(E21,G21)</f>
      </c>
      <c r="G21" s="3">
        <v>10</v>
      </c>
      <c r="H21" s="3" t="str">
        <v>待协调2</v>
      </c>
      <c r="I21" s="3" t="str">
        <v>讯飞</v>
      </c>
      <c r="J21" s="3" t="str">
        <v>未开始</v>
      </c>
    </row>
    <row customHeight="true" ht="34" r="22">
      <c r="A22" s="1" t="str">
        <v>讯飞方案设计</v>
      </c>
      <c r="B22" s="1" t="str">
        <v>计划输出</v>
      </c>
      <c r="C22" s="5" t="str">
        <v>中间件详细计划输出</v>
      </c>
      <c r="D22" s="5" t="str">
        <v>2、方案评审</v>
      </c>
      <c r="E22" s="2">
        <f>F21</f>
      </c>
      <c r="F22" s="2">
        <f>WORKDAY.INTL(E22,G22)</f>
      </c>
      <c r="G22" s="3">
        <v>10</v>
      </c>
      <c r="H22" s="3" t="str">
        <v>待协调2</v>
      </c>
      <c r="I22" s="3" t="str">
        <v>讯飞</v>
      </c>
      <c r="J22" s="3" t="str">
        <v>未开始</v>
      </c>
    </row>
    <row customHeight="true" ht="34" r="23">
      <c r="A23" s="1" t="str">
        <v>讯飞方案设计</v>
      </c>
      <c r="B23" s="1" t="str">
        <v>方案验证</v>
      </c>
      <c r="C23" s="5" t="str">
        <v>中间件方案验证</v>
      </c>
      <c r="D23" s="5" t="str">
        <v>3、方案验证</v>
      </c>
      <c r="E23" s="2">
        <f>F22</f>
      </c>
      <c r="F23" s="10">
        <f>WORKDAY.INTL(E23,G23)</f>
      </c>
      <c r="G23" s="3">
        <v>10</v>
      </c>
      <c r="H23" s="3" t="str">
        <v>待协调2</v>
      </c>
      <c r="I23" s="3" t="str">
        <v>讯飞</v>
      </c>
      <c r="J23" s="3" t="str">
        <v>未开始</v>
      </c>
    </row>
    <row customHeight="true" ht="34" r="24">
      <c r="A24" s="1" t="str">
        <v>讯飞方案设计</v>
      </c>
      <c r="B24" s="1" t="str">
        <v>方案验证</v>
      </c>
      <c r="C24" s="5" t="str">
        <v>中间件方案调整</v>
      </c>
      <c r="D24" s="5" t="str">
        <v>4、方案调整</v>
      </c>
      <c r="E24" s="2">
        <f>F23</f>
      </c>
      <c r="F24" s="10">
        <f>WORKDAY.INTL(E24,G24)</f>
      </c>
      <c r="G24" s="3">
        <v>10</v>
      </c>
      <c r="H24" s="3" t="str">
        <v>待协调2</v>
      </c>
      <c r="I24" s="3" t="str">
        <v>讯飞</v>
      </c>
      <c r="J24" s="3" t="str">
        <v>未开始</v>
      </c>
    </row>
    <row customHeight="true" ht="19" r="25">
      <c r="A25" s="1" t="str">
        <v>讯飞服务改造</v>
      </c>
      <c r="B25" s="1" t="str">
        <v>语音系统改造</v>
      </c>
      <c r="C25" s="5" t="str">
        <v>AICC座席工作台</v>
      </c>
      <c r="D25" s="5" t="str">
        <v>1、应用改造</v>
      </c>
      <c r="E25" s="2">
        <f>F21</f>
      </c>
      <c r="F25" s="2">
        <f>WORKDAY.INTL(E25,G25)</f>
      </c>
      <c r="G25" s="3">
        <v>10</v>
      </c>
      <c r="H25" s="3" t="str">
        <v>待协调1</v>
      </c>
      <c r="I25" s="3" t="str">
        <v>讯飞</v>
      </c>
      <c r="J25" s="3" t="str">
        <v>未开始</v>
      </c>
    </row>
    <row customHeight="true" ht="19" r="26">
      <c r="A26" s="1" t="str">
        <v>讯飞服务改造</v>
      </c>
      <c r="B26" s="1" t="str">
        <v>语音系统改造</v>
      </c>
      <c r="C26" s="5" t="str">
        <v>AICC座席工作台</v>
      </c>
      <c r="D26" s="5" t="str">
        <v>2、应用功能测试</v>
      </c>
      <c r="E26" s="2">
        <f>F25</f>
      </c>
      <c r="F26" s="2">
        <f>WORKDAY.INTL(E26,G26)</f>
      </c>
      <c r="G26" s="3">
        <v>10</v>
      </c>
      <c r="H26" s="3" t="str">
        <v>待协调1</v>
      </c>
      <c r="I26" s="3" t="str">
        <v>讯飞</v>
      </c>
      <c r="J26" s="3" t="str">
        <v>未开始</v>
      </c>
    </row>
    <row customHeight="true" ht="19" r="27">
      <c r="A27" s="1" t="str">
        <v>讯飞服务改造</v>
      </c>
      <c r="B27" s="1" t="str">
        <v>语音系统改造</v>
      </c>
      <c r="C27" s="5" t="str">
        <v>AICC座席工作台</v>
      </c>
      <c r="D27" s="5" t="str">
        <v>3、应用性能测试</v>
      </c>
      <c r="E27" s="2">
        <f>F26</f>
      </c>
      <c r="F27" s="2">
        <f>WORKDAY.INTL(E27,G27)</f>
      </c>
      <c r="G27" s="3">
        <v>10</v>
      </c>
      <c r="H27" s="3" t="str">
        <v>待协调1</v>
      </c>
      <c r="I27" s="3" t="str">
        <v>讯飞</v>
      </c>
      <c r="J27" s="3" t="str">
        <v>未开始</v>
      </c>
    </row>
    <row customHeight="true" ht="19" r="28">
      <c r="A28" s="1" t="str">
        <v>讯飞服务改造</v>
      </c>
      <c r="B28" s="1" t="str">
        <v>语音系统改造</v>
      </c>
      <c r="C28" s="5" t="str">
        <v>软交换平台</v>
      </c>
      <c r="D28" s="5" t="str">
        <v>1、应用改造</v>
      </c>
      <c r="E28" s="2">
        <f>F21</f>
      </c>
      <c r="F28" s="2">
        <f>WORKDAY.INTL(E28,G28)</f>
      </c>
      <c r="G28" s="3">
        <v>10</v>
      </c>
      <c r="H28" s="3" t="str">
        <v>待协调2</v>
      </c>
      <c r="I28" s="3" t="str">
        <v>讯飞</v>
      </c>
      <c r="J28" s="3" t="str">
        <v>未开始</v>
      </c>
    </row>
    <row customHeight="true" ht="19" r="29">
      <c r="A29" s="1" t="str">
        <v>讯飞服务改造</v>
      </c>
      <c r="B29" s="1" t="str">
        <v>语音系统改造</v>
      </c>
      <c r="C29" s="5" t="str">
        <v>软交换平台</v>
      </c>
      <c r="D29" s="5" t="str">
        <v>2、应用功能测试</v>
      </c>
      <c r="E29" s="2">
        <f>F28</f>
      </c>
      <c r="F29" s="2">
        <f>WORKDAY.INTL(E29,G29)</f>
      </c>
      <c r="G29" s="3">
        <v>10</v>
      </c>
      <c r="H29" s="3" t="str">
        <v>待协调2</v>
      </c>
      <c r="I29" s="3" t="str">
        <v>讯飞</v>
      </c>
      <c r="J29" s="3" t="str">
        <v>未开始</v>
      </c>
    </row>
    <row customHeight="true" ht="19" r="30">
      <c r="A30" s="1" t="str">
        <v>讯飞服务改造</v>
      </c>
      <c r="B30" s="1" t="str">
        <v>语音系统改造</v>
      </c>
      <c r="C30" s="5" t="str">
        <v>软交换平台</v>
      </c>
      <c r="D30" s="5" t="str">
        <v>3、应用性能测试</v>
      </c>
      <c r="E30" s="2">
        <f>F29</f>
      </c>
      <c r="F30" s="2">
        <f>WORKDAY.INTL(E30,G30)</f>
      </c>
      <c r="G30" s="3">
        <v>10</v>
      </c>
      <c r="H30" s="3" t="str">
        <v>待协调2</v>
      </c>
      <c r="I30" s="3" t="str">
        <v>讯飞</v>
      </c>
      <c r="J30" s="3" t="str">
        <v>未开始</v>
      </c>
    </row>
    <row customHeight="true" ht="19" r="31">
      <c r="A31" s="1" t="str">
        <v>讯飞服务改造</v>
      </c>
      <c r="B31" s="1" t="str">
        <v>在线系统改造</v>
      </c>
      <c r="C31" s="5" t="str">
        <v>IM文字客服</v>
      </c>
      <c r="D31" s="5" t="str">
        <v>1、应用改造</v>
      </c>
      <c r="E31" s="2">
        <f>F21</f>
      </c>
      <c r="F31" s="2">
        <f>WORKDAY.INTL(E31,G31)</f>
      </c>
      <c r="G31" s="3">
        <v>10</v>
      </c>
      <c r="H31" s="3" t="str">
        <v>待协调3</v>
      </c>
      <c r="I31" s="3" t="str">
        <v>讯飞</v>
      </c>
      <c r="J31" s="3" t="str">
        <v>未开始</v>
      </c>
      <c r="K31" s="9"/>
    </row>
    <row customHeight="true" ht="19" r="32">
      <c r="A32" s="1" t="str">
        <v>讯飞服务改造</v>
      </c>
      <c r="B32" s="1" t="str">
        <v>在线系统改造</v>
      </c>
      <c r="C32" s="5" t="str">
        <v>IM文字客服</v>
      </c>
      <c r="D32" s="5" t="str">
        <v>2、应用功能测试</v>
      </c>
      <c r="E32" s="2">
        <f>F31</f>
      </c>
      <c r="F32" s="2">
        <f>WORKDAY.INTL(E32,G32)</f>
      </c>
      <c r="G32" s="3">
        <v>10</v>
      </c>
      <c r="H32" s="3" t="str">
        <v>待协调3</v>
      </c>
      <c r="I32" s="3" t="str">
        <v>讯飞</v>
      </c>
      <c r="J32" s="3" t="str">
        <v>未开始</v>
      </c>
      <c r="K32" s="9"/>
    </row>
    <row customHeight="true" ht="19" r="33">
      <c r="A33" s="1" t="str">
        <v>讯飞服务改造</v>
      </c>
      <c r="B33" s="1" t="str">
        <v>在线系统改造</v>
      </c>
      <c r="C33" s="5" t="str">
        <v>IM文字客服</v>
      </c>
      <c r="D33" s="5" t="str">
        <v>3、应用性能测试</v>
      </c>
      <c r="E33" s="2">
        <f>F32</f>
      </c>
      <c r="F33" s="2">
        <f>WORKDAY.INTL(E33,G33)</f>
      </c>
      <c r="G33" s="3">
        <v>10</v>
      </c>
      <c r="H33" s="3" t="str">
        <v>待协调3</v>
      </c>
      <c r="I33" s="3" t="str">
        <v>讯飞</v>
      </c>
      <c r="J33" s="3" t="str">
        <v>未开始</v>
      </c>
      <c r="K33" s="9"/>
    </row>
    <row customHeight="true" ht="19" r="34">
      <c r="A34" s="1" t="str">
        <v>讯飞服务改造</v>
      </c>
      <c r="B34" s="1" t="str">
        <v>智能化服务改造</v>
      </c>
      <c r="C34" s="5" t="str">
        <v>融智知识库</v>
      </c>
      <c r="D34" s="5" t="str">
        <v>1、应用改造</v>
      </c>
      <c r="E34" s="2">
        <f>F21</f>
      </c>
      <c r="F34" s="2">
        <f>WORKDAY.INTL(E34,G34)</f>
      </c>
      <c r="G34" s="3">
        <v>10</v>
      </c>
      <c r="H34" s="3" t="str">
        <v>待协调4</v>
      </c>
      <c r="I34" s="3" t="str">
        <v>讯飞</v>
      </c>
      <c r="J34" s="3" t="str">
        <v>未开始</v>
      </c>
      <c r="K34" s="9"/>
    </row>
    <row customHeight="true" ht="19" r="35">
      <c r="A35" s="1" t="str">
        <v>讯飞服务改造</v>
      </c>
      <c r="B35" s="1" t="str">
        <v>智能化服务改造</v>
      </c>
      <c r="C35" s="5" t="str">
        <v>融智知识库</v>
      </c>
      <c r="D35" s="5" t="str">
        <v>2、应用功能测试</v>
      </c>
      <c r="E35" s="2">
        <f>F34</f>
      </c>
      <c r="F35" s="2">
        <f>WORKDAY.INTL(E35,G35)</f>
      </c>
      <c r="G35" s="3">
        <v>10</v>
      </c>
      <c r="H35" s="3" t="str">
        <v>待协调4</v>
      </c>
      <c r="I35" s="3" t="str">
        <v>讯飞</v>
      </c>
      <c r="J35" s="3" t="str">
        <v>未开始</v>
      </c>
      <c r="K35" s="9"/>
    </row>
    <row customHeight="true" ht="19" r="36">
      <c r="A36" s="1" t="str">
        <v>讯飞服务改造</v>
      </c>
      <c r="B36" s="1" t="str">
        <v>智能化服务改造</v>
      </c>
      <c r="C36" s="5" t="str">
        <v>融智知识库</v>
      </c>
      <c r="D36" s="5" t="str">
        <v>3、应用性能测试</v>
      </c>
      <c r="E36" s="2">
        <f>F35</f>
      </c>
      <c r="F36" s="2">
        <f>WORKDAY.INTL(E36,G36)</f>
      </c>
      <c r="G36" s="3">
        <v>10</v>
      </c>
      <c r="H36" s="3" t="str">
        <v>待协调4</v>
      </c>
      <c r="I36" s="3" t="str">
        <v>讯飞</v>
      </c>
      <c r="J36" s="3" t="str">
        <v>未开始</v>
      </c>
      <c r="K36" s="9"/>
    </row>
    <row customHeight="true" ht="19" r="37">
      <c r="A37" s="35" t="str">
        <v>讯飞服务改造</v>
      </c>
      <c r="B37" s="35" t="str">
        <v>智能化服务改造</v>
      </c>
      <c r="C37" s="36" t="str">
        <v>AI+管理平台</v>
      </c>
      <c r="D37" s="36"/>
      <c r="E37" s="37"/>
      <c r="F37" s="37"/>
      <c r="G37" s="38">
        <v>30</v>
      </c>
      <c r="H37" s="38" t="str">
        <v>待协调5</v>
      </c>
      <c r="I37" s="38" t="str">
        <v>讯飞</v>
      </c>
      <c r="J37" s="38" t="str">
        <v>未开始</v>
      </c>
      <c r="K37" s="34"/>
    </row>
    <row customHeight="true" ht="19" r="38">
      <c r="A38" s="35" t="str">
        <v>讯飞服务改造</v>
      </c>
      <c r="B38" s="35" t="str">
        <v>智能化服务改造</v>
      </c>
      <c r="C38" s="36" t="str">
        <v>智能外呼</v>
      </c>
      <c r="D38" s="36"/>
      <c r="E38" s="37"/>
      <c r="F38" s="37"/>
      <c r="G38" s="38">
        <v>30</v>
      </c>
      <c r="H38" s="38" t="str">
        <v>待协调5</v>
      </c>
      <c r="I38" s="38" t="str">
        <v>讯飞</v>
      </c>
      <c r="J38" s="38" t="str">
        <v>未开始</v>
      </c>
      <c r="K38" s="34"/>
    </row>
    <row customHeight="true" ht="19" r="39">
      <c r="A39" s="35" t="str">
        <v>讯飞服务改造</v>
      </c>
      <c r="B39" s="35" t="str">
        <v>智能化服务改造</v>
      </c>
      <c r="C39" s="36" t="str">
        <v>智能质检</v>
      </c>
      <c r="D39" s="36"/>
      <c r="E39" s="37"/>
      <c r="F39" s="37"/>
      <c r="G39" s="38">
        <v>30</v>
      </c>
      <c r="H39" s="38" t="str">
        <v>待协调5</v>
      </c>
      <c r="I39" s="38" t="str">
        <v>讯飞</v>
      </c>
      <c r="J39" s="38" t="str">
        <v>未开始</v>
      </c>
      <c r="K39" s="34"/>
    </row>
    <row customHeight="true" ht="19" r="40">
      <c r="A40" s="35" t="str">
        <v>讯飞服务改造</v>
      </c>
      <c r="B40" s="35" t="str">
        <v>智能化服务改造</v>
      </c>
      <c r="C40" s="36" t="str">
        <v>智能助手</v>
      </c>
      <c r="D40" s="36"/>
      <c r="E40" s="37"/>
      <c r="F40" s="37"/>
      <c r="G40" s="38">
        <v>30</v>
      </c>
      <c r="H40" s="38" t="str">
        <v>待协调5</v>
      </c>
      <c r="I40" s="38" t="str">
        <v>讯飞</v>
      </c>
      <c r="J40" s="38" t="str">
        <v>未开始</v>
      </c>
      <c r="K40" s="34"/>
    </row>
    <row customHeight="true" ht="19" r="41">
      <c r="A41" s="35" t="str">
        <v>讯飞服务改造</v>
      </c>
      <c r="B41" s="35" t="str">
        <v>周边服务改造</v>
      </c>
      <c r="C41" s="36" t="str">
        <v>人工质检</v>
      </c>
      <c r="D41" s="36"/>
      <c r="E41" s="37"/>
      <c r="F41" s="37"/>
      <c r="G41" s="38">
        <v>30</v>
      </c>
      <c r="H41" s="38" t="str">
        <v>待协调5</v>
      </c>
      <c r="I41" s="38" t="str">
        <v>讯飞</v>
      </c>
      <c r="J41" s="38" t="str">
        <v>未开始</v>
      </c>
      <c r="K41" s="34"/>
    </row>
    <row customHeight="true" ht="19" r="42">
      <c r="A42" s="35" t="str">
        <v>讯飞服务改造</v>
      </c>
      <c r="B42" s="35" t="str">
        <v>周边服务改造</v>
      </c>
      <c r="C42" s="36" t="str">
        <v>监控平台</v>
      </c>
      <c r="D42" s="36"/>
      <c r="E42" s="37"/>
      <c r="F42" s="37"/>
      <c r="G42" s="38">
        <v>30</v>
      </c>
      <c r="H42" s="38" t="str">
        <v>待协调5</v>
      </c>
      <c r="I42" s="38" t="str">
        <v>讯飞</v>
      </c>
      <c r="J42" s="38" t="str">
        <v>未开始</v>
      </c>
      <c r="K42" s="34"/>
    </row>
    <row customHeight="true" ht="19" r="43">
      <c r="A43" s="35" t="str">
        <v>讯飞服务改造</v>
      </c>
      <c r="B43" s="35" t="str">
        <v>数据服务改造</v>
      </c>
      <c r="C43" s="36" t="str">
        <v>数据运营/能力平台</v>
      </c>
      <c r="D43" s="36"/>
      <c r="E43" s="37"/>
      <c r="F43" s="37"/>
      <c r="G43" s="38">
        <v>30</v>
      </c>
      <c r="H43" s="38" t="str">
        <v>待协调5</v>
      </c>
      <c r="I43" s="38" t="str">
        <v>讯飞</v>
      </c>
      <c r="J43" s="38" t="str">
        <v>未开始</v>
      </c>
      <c r="K43" s="34"/>
    </row>
    <row customHeight="true" ht="19" r="44">
      <c r="A44" s="1" t="str">
        <v>讯飞服务改造</v>
      </c>
      <c r="B44" s="1" t="str">
        <v>周边服务改造</v>
      </c>
      <c r="C44" s="5" t="str">
        <v>UAP</v>
      </c>
      <c r="D44" s="5" t="str">
        <v>1、应用改造</v>
      </c>
      <c r="E44" s="2">
        <f>F21</f>
      </c>
      <c r="F44" s="2">
        <f>WORKDAY.INTL(E44,G44)</f>
      </c>
      <c r="G44" s="3">
        <v>10</v>
      </c>
      <c r="H44" s="3" t="str">
        <v>待协调3</v>
      </c>
      <c r="I44" s="3" t="str">
        <v>讯飞</v>
      </c>
      <c r="J44" s="3" t="str">
        <v>未开始</v>
      </c>
    </row>
    <row customHeight="true" ht="19" r="45">
      <c r="A45" s="1" t="str">
        <v>讯飞服务改造</v>
      </c>
      <c r="B45" s="1" t="str">
        <v>周边服务改造</v>
      </c>
      <c r="C45" s="5" t="str">
        <v>UAP</v>
      </c>
      <c r="D45" s="5" t="str">
        <v>2、应用功能测试</v>
      </c>
      <c r="E45" s="2">
        <f>F44</f>
      </c>
      <c r="F45" s="2">
        <f>WORKDAY.INTL(E45,G45)</f>
      </c>
      <c r="G45" s="3">
        <v>10</v>
      </c>
      <c r="H45" s="3" t="str">
        <v>待协调3</v>
      </c>
      <c r="I45" s="3" t="str">
        <v>讯飞</v>
      </c>
      <c r="J45" s="3" t="str">
        <v>未开始</v>
      </c>
    </row>
    <row customHeight="true" ht="19" r="46">
      <c r="A46" s="1" t="str">
        <v>讯飞服务改造</v>
      </c>
      <c r="B46" s="1" t="str">
        <v>周边服务改造</v>
      </c>
      <c r="C46" s="5" t="str">
        <v>UAP</v>
      </c>
      <c r="D46" s="5" t="str">
        <v>3、应用性能测试</v>
      </c>
      <c r="E46" s="2">
        <f>F45</f>
      </c>
      <c r="F46" s="2">
        <f>WORKDAY.INTL(E46,G46)</f>
      </c>
      <c r="G46" s="3">
        <v>10</v>
      </c>
      <c r="H46" s="3" t="str">
        <v>待协调3</v>
      </c>
      <c r="I46" s="3" t="str">
        <v>讯飞</v>
      </c>
      <c r="J46" s="3" t="str">
        <v>未开始</v>
      </c>
    </row>
    <row customHeight="true" ht="19" r="47">
      <c r="A47" s="1" t="str">
        <v>讯飞服务改造</v>
      </c>
      <c r="B47" s="1" t="str">
        <v>存储系统改造</v>
      </c>
      <c r="C47" s="5" t="str">
        <v>Storage\S3协议对接等</v>
      </c>
      <c r="D47" s="5" t="str">
        <v>1、应用改造</v>
      </c>
      <c r="E47" s="2">
        <f>F21</f>
      </c>
      <c r="F47" s="2">
        <f>WORKDAY.INTL(E47,G47)</f>
      </c>
      <c r="G47" s="3">
        <v>10</v>
      </c>
      <c r="H47" s="3" t="str">
        <v>待协调4</v>
      </c>
      <c r="I47" s="3" t="str">
        <v>讯飞</v>
      </c>
      <c r="J47" s="3" t="str">
        <v>未开始</v>
      </c>
    </row>
    <row customHeight="true" ht="19" r="48">
      <c r="A48" s="1" t="str">
        <v>讯飞服务改造</v>
      </c>
      <c r="B48" s="1" t="str">
        <v>存储系统改造</v>
      </c>
      <c r="C48" s="5" t="str">
        <v>Storage\S3协议对接等</v>
      </c>
      <c r="D48" s="5" t="str">
        <v>2、应用功能测试</v>
      </c>
      <c r="E48" s="2">
        <f>F47</f>
      </c>
      <c r="F48" s="2">
        <f>WORKDAY.INTL(E48,G48)</f>
      </c>
      <c r="G48" s="3">
        <v>10</v>
      </c>
      <c r="H48" s="3" t="str">
        <v>待协调4</v>
      </c>
      <c r="I48" s="3" t="str">
        <v>讯飞</v>
      </c>
      <c r="J48" s="3" t="str">
        <v>未开始</v>
      </c>
    </row>
    <row customHeight="true" ht="19" r="49">
      <c r="A49" s="1" t="str">
        <v>讯飞服务改造</v>
      </c>
      <c r="B49" s="1" t="str">
        <v>存储系统改造</v>
      </c>
      <c r="C49" s="5" t="str">
        <v>Storage\S3协议对接等</v>
      </c>
      <c r="D49" s="5" t="str">
        <v>3、应用性能测试</v>
      </c>
      <c r="E49" s="2">
        <f>F48</f>
      </c>
      <c r="F49" s="2">
        <f>WORKDAY.INTL(E49,G49)</f>
      </c>
      <c r="G49" s="3">
        <v>10</v>
      </c>
      <c r="H49" s="3" t="str">
        <v>待协调4</v>
      </c>
      <c r="I49" s="3" t="str">
        <v>讯飞</v>
      </c>
      <c r="J49" s="3" t="str">
        <v>未开始</v>
      </c>
    </row>
    <row r="50">
      <c r="A50" s="1" t="str">
        <v>讯飞服务改造</v>
      </c>
      <c r="B50" s="1" t="str">
        <v>中间件同步工具研发</v>
      </c>
      <c r="C50" s="5" t="str">
        <v>天翼云无法上云中间件改造</v>
      </c>
      <c r="D50" s="5" t="str">
        <v>1、中间件双中心方案计划输出</v>
      </c>
      <c r="E50" s="2">
        <f>F21</f>
      </c>
      <c r="F50" s="2">
        <f>WORKDAY.INTL(E50,G50)</f>
      </c>
      <c r="G50" s="3">
        <v>10</v>
      </c>
      <c r="H50" s="3" t="str">
        <v>待协调2</v>
      </c>
      <c r="I50" s="3" t="str">
        <v>讯飞</v>
      </c>
      <c r="J50" s="3" t="str">
        <v>未开始</v>
      </c>
    </row>
    <row customHeight="true" ht="19" r="51">
      <c r="A51" s="1" t="str">
        <v>讯飞服务改造</v>
      </c>
      <c r="B51" s="1" t="str">
        <v>中间件同步工具研发</v>
      </c>
      <c r="C51" s="5" t="str">
        <v>天翼云无法上云中间件改造</v>
      </c>
      <c r="D51" s="5" t="str">
        <v>2、中间件双中心改造</v>
      </c>
      <c r="E51" s="2">
        <f>F50</f>
      </c>
      <c r="F51" s="2">
        <f>WORKDAY.INTL(E51,G51)</f>
      </c>
      <c r="G51" s="3">
        <v>25</v>
      </c>
      <c r="H51" s="3" t="str">
        <v>待协调2</v>
      </c>
      <c r="I51" s="3" t="str">
        <v>讯飞</v>
      </c>
      <c r="J51" s="3" t="str">
        <v>未开始</v>
      </c>
    </row>
    <row customHeight="true" ht="19" r="52">
      <c r="A52" s="1" t="str">
        <v>讯飞服务改造</v>
      </c>
      <c r="B52" s="1" t="str">
        <v>中间件同步工具研发</v>
      </c>
      <c r="C52" s="5" t="str">
        <v>天翼云无法上云中间件改造</v>
      </c>
      <c r="D52" s="5" t="str">
        <v>3、中间件双中心测试</v>
      </c>
      <c r="E52" s="2">
        <f>F51</f>
      </c>
      <c r="F52" s="2">
        <f>WORKDAY.INTL(E52,G52)</f>
      </c>
      <c r="G52" s="3">
        <v>25</v>
      </c>
      <c r="H52" s="3" t="str">
        <v>待协调2</v>
      </c>
      <c r="I52" s="3" t="str">
        <v>讯飞</v>
      </c>
      <c r="J52" s="3" t="str">
        <v>未开始</v>
      </c>
    </row>
    <row customHeight="true" ht="19" r="53">
      <c r="A53" s="1" t="str">
        <v>讯飞服务改造</v>
      </c>
      <c r="B53" s="1" t="str">
        <v>中间件同步工具研发</v>
      </c>
      <c r="C53" s="5" t="str">
        <v>天翼云无法上云中间件改造</v>
      </c>
      <c r="D53" s="5" t="str">
        <v>4、中间件双中心性能</v>
      </c>
      <c r="E53" s="2">
        <f>F52</f>
      </c>
      <c r="F53" s="2">
        <f>WORKDAY.INTL(E53,G53)</f>
      </c>
      <c r="G53" s="3">
        <v>10</v>
      </c>
      <c r="H53" s="3" t="str">
        <v>待协调2</v>
      </c>
      <c r="I53" s="3" t="str">
        <v>讯飞</v>
      </c>
      <c r="J53" s="3" t="str">
        <v>未开始</v>
      </c>
    </row>
    <row customHeight="true" ht="36" r="54">
      <c r="A54" s="1" t="str">
        <v>讯飞服务迁移</v>
      </c>
      <c r="B54" s="1" t="str">
        <v>服务迁移</v>
      </c>
      <c r="C54" s="5" t="str">
        <v>迁移中间件</v>
      </c>
      <c r="D54" s="5"/>
      <c r="E54" s="2">
        <f>F21</f>
      </c>
      <c r="F54" s="2">
        <f>WORKDAY.INTL(E54,G54)</f>
      </c>
      <c r="G54" s="3">
        <v>10</v>
      </c>
      <c r="H54" s="3" t="str">
        <v>朱靖</v>
      </c>
      <c r="I54" s="3" t="str">
        <v>讯飞</v>
      </c>
      <c r="J54" s="3" t="str">
        <v>未开始</v>
      </c>
    </row>
    <row customHeight="true" ht="36" r="55">
      <c r="A55" s="1" t="str">
        <v>讯飞服务迁移</v>
      </c>
      <c r="B55" s="1" t="str">
        <v>服务迁移</v>
      </c>
      <c r="C55" s="5" t="str">
        <v>迁移应用服务</v>
      </c>
      <c r="D55" s="5"/>
      <c r="E55" s="2">
        <f>F54</f>
      </c>
      <c r="F55" s="2">
        <f>WORKDAY.INTL(E55,G55)</f>
      </c>
      <c r="G55" s="3">
        <v>10</v>
      </c>
      <c r="H55" s="3" t="str">
        <v>朱靖</v>
      </c>
      <c r="I55" s="3" t="str">
        <v>讯飞</v>
      </c>
      <c r="J55" s="3" t="str">
        <v>未开始</v>
      </c>
    </row>
    <row customHeight="true" ht="36" r="56">
      <c r="A56" s="1" t="str">
        <v>讯飞服务部署</v>
      </c>
      <c r="B56" s="1" t="str">
        <v>双中心部署</v>
      </c>
      <c r="C56" s="5" t="str">
        <v>调整应用服务部署</v>
      </c>
      <c r="D56" s="5"/>
      <c r="E56" s="2">
        <f>F55</f>
      </c>
      <c r="F56" s="10">
        <f>WORKDAY.INTL(E56,G56)</f>
      </c>
      <c r="G56" s="3">
        <v>10</v>
      </c>
      <c r="H56" s="3" t="str">
        <v>朱靖</v>
      </c>
      <c r="I56" s="3" t="str">
        <v>讯飞</v>
      </c>
      <c r="J56" s="3" t="str">
        <v>未开始</v>
      </c>
    </row>
    <row customHeight="true" ht="36" r="57">
      <c r="A57" s="1" t="str">
        <v>讯飞服务部署</v>
      </c>
      <c r="B57" s="1" t="str">
        <v>双中心部署</v>
      </c>
      <c r="C57" s="5" t="str">
        <v>调整中间件部署</v>
      </c>
      <c r="D57" s="5"/>
      <c r="E57" s="2">
        <f>F56</f>
      </c>
      <c r="F57" s="10">
        <f>WORKDAY.INTL(E57,G57)</f>
      </c>
      <c r="G57" s="3">
        <v>10</v>
      </c>
      <c r="H57" s="3" t="str">
        <v>朱靖</v>
      </c>
      <c r="I57" s="3" t="str">
        <v>讯飞</v>
      </c>
      <c r="J57" s="3" t="str">
        <v>未开始</v>
      </c>
    </row>
    <row customHeight="true" ht="36" r="58">
      <c r="A58" s="1" t="str">
        <v>讯飞服务验证</v>
      </c>
      <c r="B58" s="1" t="str">
        <v>双中心</v>
      </c>
      <c r="C58" s="5" t="str">
        <v>验证双中心功能</v>
      </c>
      <c r="D58" s="5"/>
      <c r="E58" s="2">
        <f>F57</f>
      </c>
      <c r="F58" s="10">
        <f>WORKDAY.INTL(E58,G58)</f>
      </c>
      <c r="G58" s="3">
        <v>10</v>
      </c>
      <c r="H58" s="3" t="str">
        <v>朱靖</v>
      </c>
      <c r="I58" s="3" t="str">
        <v>讯飞</v>
      </c>
      <c r="J58" s="3" t="str">
        <v>未开始</v>
      </c>
    </row>
    <row r="59">
      <c r="A59" s="1" t="str">
        <v>试运行</v>
      </c>
      <c r="B59" s="1" t="str">
        <v>双中心双活试运行</v>
      </c>
      <c r="C59" s="5" t="str">
        <v>双中心切换试运行</v>
      </c>
      <c r="D59" s="5"/>
      <c r="E59" s="2">
        <f>F58</f>
      </c>
      <c r="F59" s="2">
        <f>WORKDAY.INTL(E59,G59)</f>
      </c>
      <c r="G59" s="3">
        <v>10</v>
      </c>
      <c r="H59" s="3" t="str">
        <v>朱靖</v>
      </c>
      <c r="I59" s="3" t="str">
        <v>讯飞</v>
      </c>
      <c r="J59" s="3" t="str">
        <v>未开始</v>
      </c>
    </row>
    <row customHeight="true" ht="19" r="60">
      <c r="A60" s="1" t="str">
        <v>试运行</v>
      </c>
      <c r="B60" s="1" t="str">
        <v>双中心双活正式运行</v>
      </c>
      <c r="C60" s="5" t="str">
        <v>正式运行后运维</v>
      </c>
      <c r="D60" s="5"/>
      <c r="E60" s="2">
        <f>F59</f>
      </c>
      <c r="F60" s="2">
        <f>WORKDAY.INTL(E60,G60)</f>
      </c>
      <c r="G60" s="3">
        <v>20</v>
      </c>
      <c r="H60" s="3" t="str">
        <v>朱靖</v>
      </c>
      <c r="I60" s="3" t="str">
        <v>讯飞</v>
      </c>
      <c r="J60" s="3" t="str">
        <v>未开始</v>
      </c>
    </row>
    <row customHeight="true" ht="19" r="61">
      <c r="A61" s="1" t="str">
        <v>回退</v>
      </c>
      <c r="B61" s="1" t="str">
        <v>回退</v>
      </c>
      <c r="C61" s="5" t="str">
        <v>双中心运行失败，整体回退</v>
      </c>
      <c r="D61" s="5"/>
      <c r="E61" s="2">
        <f>F60</f>
      </c>
      <c r="F61" s="2">
        <f>WORKDAY.INTL(E61,G61)</f>
      </c>
      <c r="G61" s="3">
        <v>20</v>
      </c>
      <c r="H61" s="3" t="str">
        <v>朱靖</v>
      </c>
      <c r="I61" s="3" t="str">
        <v>讯飞</v>
      </c>
      <c r="J61" s="3" t="str">
        <v>未开始</v>
      </c>
    </row>
    <row r="62">
      <c r="A62" s="1"/>
      <c r="B62" s="1"/>
      <c r="C62" s="5"/>
      <c r="D62" s="5"/>
      <c r="E62" s="2"/>
      <c r="F62" s="2"/>
      <c r="G62" s="3">
        <f>SUM(G7:G61)</f>
      </c>
      <c r="H62" s="3"/>
      <c r="I62" s="3"/>
      <c r="J62" s="3"/>
    </row>
  </sheetData>
  <dataValidations count="1">
    <dataValidation allowBlank="true" errorStyle="stop" showErrorMessage="true" sqref="J2:J62" type="list">
      <formula1>"已完成,未开始,未通过,进行中"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2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10"/>
    <col collapsed="false" customWidth="true" hidden="false" max="9" min="9" style="0" width="9"/>
    <col collapsed="false" customWidth="true" hidden="false" max="10" min="10" style="0" width="10"/>
    <col collapsed="false" customWidth="true" hidden="false" max="11" min="11" style="0" width="14"/>
  </cols>
  <sheetData>
    <row r="1">
      <c r="A1" s="12" t="str">
        <v>大类</v>
      </c>
      <c r="B1" s="12" t="str">
        <v>小类</v>
      </c>
      <c r="C1" s="12" t="str">
        <v>功能调整点</v>
      </c>
      <c r="D1" s="12" t="str">
        <v>详细内容</v>
      </c>
      <c r="E1" s="14" t="str">
        <v>开始时间</v>
      </c>
      <c r="F1" s="14" t="str">
        <v>完成时间</v>
      </c>
      <c r="G1" s="12" t="str">
        <v>工作量预估</v>
      </c>
      <c r="H1" s="12" t="str">
        <v>负责人</v>
      </c>
      <c r="I1" s="12" t="str">
        <v>负责方</v>
      </c>
      <c r="J1" s="12" t="str">
        <v>状态</v>
      </c>
    </row>
    <row r="2">
      <c r="A2" s="1" t="str">
        <v>天翼云迁移</v>
      </c>
      <c r="B2" s="1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3"/>
      <c r="F2" s="3" t="str">
        <v>T</v>
      </c>
      <c r="G2" s="3">
        <v>5</v>
      </c>
      <c r="H2" s="3"/>
      <c r="I2" s="3" t="str">
        <v>天翼云</v>
      </c>
      <c r="J2" s="3" t="str">
        <v>进行中</v>
      </c>
    </row>
    <row customHeight="true" ht="34" r="3">
      <c r="A3" s="1" t="str">
        <v>天翼云迁移</v>
      </c>
      <c r="B3" s="1" t="str">
        <v>环境搭建</v>
      </c>
      <c r="C3" s="5" t="str">
        <v>开通北京 5 至华北的临时专线，在华北开通迁移所 需的全部资源</v>
      </c>
      <c r="D3" s="5"/>
      <c r="E3" s="3"/>
      <c r="F3" s="3"/>
      <c r="G3" s="3">
        <v>5</v>
      </c>
      <c r="H3" s="3"/>
      <c r="I3" s="3" t="str">
        <v>天翼云</v>
      </c>
      <c r="J3" s="3"/>
    </row>
    <row customHeight="true" ht="34" r="4">
      <c r="A4" s="1" t="str">
        <v>天翼云迁移</v>
      </c>
      <c r="B4" s="1" t="str">
        <v>数据迁移</v>
      </c>
      <c r="C4" s="5" t="str">
        <v>通过迁移工具对云主机、弹性文件、对象存储、 RDS 数据库进行数据迁</v>
      </c>
      <c r="D4" s="5"/>
      <c r="E4" s="3"/>
      <c r="F4" s="3"/>
      <c r="G4" s="3">
        <v>20</v>
      </c>
      <c r="H4" s="3"/>
      <c r="I4" s="3" t="str">
        <v>天翼云</v>
      </c>
      <c r="J4" s="3"/>
    </row>
    <row customHeight="true" ht="34" r="5">
      <c r="A5" s="1" t="str">
        <v>天翼云迁移</v>
      </c>
      <c r="B5" s="1" t="str">
        <v>割接准备</v>
      </c>
      <c r="C5" s="5" t="str">
        <v>制定割接计划、完成备线割接、明确各环节操作及 保障人员</v>
      </c>
      <c r="D5" s="5"/>
      <c r="E5" s="3"/>
      <c r="F5" s="3"/>
      <c r="G5" s="3">
        <v>3</v>
      </c>
      <c r="H5" s="3"/>
      <c r="I5" s="3" t="str">
        <v>天翼云</v>
      </c>
      <c r="J5" s="3"/>
    </row>
    <row customHeight="true" ht="34" r="6">
      <c r="A6" s="1" t="str">
        <v>天翼云迁移</v>
      </c>
      <c r="B6" s="1" t="str">
        <v>业务割接</v>
      </c>
      <c r="C6" s="5" t="str">
        <v>按割接方案进行业务割接并验证，迁移完成</v>
      </c>
      <c r="D6" s="5"/>
      <c r="E6" s="3"/>
      <c r="F6" s="3"/>
      <c r="G6" s="3">
        <v>1</v>
      </c>
      <c r="H6" s="3"/>
      <c r="I6" s="3" t="str">
        <v>天翼云</v>
      </c>
      <c r="J6" s="3"/>
    </row>
    <row customHeight="true" ht="34" r="7">
      <c r="A7" s="1" t="str">
        <v>讯飞方案设计</v>
      </c>
      <c r="B7" s="1" t="str">
        <v>方案整理</v>
      </c>
      <c r="C7" s="5" t="str">
        <v>整体双中心双活计划</v>
      </c>
      <c r="D7" s="5" t="str">
        <v>1、完成整体建设计划编写、相关资源协调</v>
      </c>
      <c r="E7" s="40">
        <v>45537</v>
      </c>
      <c r="F7" s="10">
        <f>WORKDAY.INTL(E7,G7)</f>
      </c>
      <c r="G7" s="3">
        <v>5</v>
      </c>
      <c r="H7" s="3" t="str">
        <v>陈亚男</v>
      </c>
      <c r="I7" s="3" t="str">
        <v>讯飞</v>
      </c>
      <c r="J7" s="3" t="str">
        <v>未开始</v>
      </c>
    </row>
    <row customHeight="true" ht="34" r="8">
      <c r="A8" s="1" t="str">
        <v>讯飞方案设计</v>
      </c>
      <c r="B8" s="1" t="str">
        <v>方案整理</v>
      </c>
      <c r="C8" s="5" t="str">
        <v>整体双中心双活计划</v>
      </c>
      <c r="D8" s="5" t="str">
        <v>2、完成建设计划内部评审、优化调整</v>
      </c>
      <c r="E8" s="2">
        <f>F7</f>
      </c>
      <c r="F8" s="10">
        <f>WORKDAY.INTL(E8,G8)</f>
      </c>
      <c r="G8" s="3">
        <v>5</v>
      </c>
      <c r="H8" s="3" t="str">
        <v>陈亚男</v>
      </c>
      <c r="I8" s="3" t="str">
        <v>讯飞</v>
      </c>
      <c r="J8" s="3" t="str">
        <v>未开始</v>
      </c>
    </row>
    <row r="9">
      <c r="A9" s="1" t="str">
        <v>讯飞方案设计</v>
      </c>
      <c r="B9" s="1" t="str">
        <v>方案评估</v>
      </c>
      <c r="C9" s="5" t="str">
        <v>详细方案</v>
      </c>
      <c r="D9" s="5" t="str">
        <v>1、完成详细方案设计
</v>
      </c>
      <c r="E9" s="2">
        <f>F8</f>
      </c>
      <c r="F9" s="2">
        <f>WORKDAY.INTL(E9,G9)</f>
      </c>
      <c r="G9" s="3">
        <v>10</v>
      </c>
      <c r="H9" s="3" t="str">
        <v>陈亚男</v>
      </c>
      <c r="I9" s="3" t="str">
        <v>讯飞</v>
      </c>
      <c r="J9" s="3" t="str">
        <v>未开始</v>
      </c>
    </row>
    <row customHeight="true" ht="45" r="10">
      <c r="A10" s="1" t="str">
        <v>讯飞方案设计</v>
      </c>
      <c r="B10" s="1" t="str">
        <v>方案评估</v>
      </c>
      <c r="C10" s="5" t="str">
        <v>详细方案</v>
      </c>
      <c r="D10" s="5" t="str">
        <v>2、完成详细方案应用可行性验证</v>
      </c>
      <c r="E10" s="2">
        <f>F9</f>
      </c>
      <c r="F10" s="2">
        <f>WORKDAY.INTL(E10,G10)</f>
      </c>
      <c r="G10" s="3">
        <v>10</v>
      </c>
      <c r="H10" s="3" t="str">
        <v>陈亚男</v>
      </c>
      <c r="I10" s="3" t="str">
        <v>讯飞</v>
      </c>
      <c r="J10" s="3" t="str">
        <v>未开始</v>
      </c>
    </row>
    <row customHeight="true" ht="45" r="11">
      <c r="A11" s="1" t="str">
        <v>讯飞方案设计</v>
      </c>
      <c r="B11" s="1" t="str">
        <v>方案评估</v>
      </c>
      <c r="C11" s="5" t="str">
        <v>详细方案</v>
      </c>
      <c r="D11" s="5" t="str">
        <v>3、完成详细方案中间件可行性验证</v>
      </c>
      <c r="E11" s="2">
        <f>F10</f>
      </c>
      <c r="F11" s="2">
        <f>WORKDAY.INTL(E11,G11)</f>
      </c>
      <c r="G11" s="3">
        <v>5</v>
      </c>
      <c r="H11" s="3" t="str">
        <v>陈亚男</v>
      </c>
      <c r="I11" s="3" t="str">
        <v>讯飞</v>
      </c>
      <c r="J11" s="3" t="str">
        <v>未开始</v>
      </c>
    </row>
    <row customHeight="true" ht="45" r="12">
      <c r="A12" s="1" t="str">
        <v>讯飞方案设计</v>
      </c>
      <c r="B12" s="1" t="str">
        <v>方案评估</v>
      </c>
      <c r="C12" s="5" t="str">
        <v>详细方案</v>
      </c>
      <c r="D12" s="5" t="str">
        <v>4、完成详细方案评审</v>
      </c>
      <c r="E12" s="2">
        <f>F11</f>
      </c>
      <c r="F12" s="2">
        <f>WORKDAY.INTL(E12,G12)</f>
      </c>
      <c r="G12" s="3">
        <v>5</v>
      </c>
      <c r="H12" s="3" t="str">
        <v>陈亚男</v>
      </c>
      <c r="I12" s="3" t="str">
        <v>讯飞</v>
      </c>
      <c r="J12" s="3" t="str">
        <v>未开始</v>
      </c>
    </row>
    <row customHeight="true" ht="45" r="13">
      <c r="A13" s="1" t="str">
        <v>讯飞方案设计</v>
      </c>
      <c r="B13" s="1" t="str">
        <v>方案评估</v>
      </c>
      <c r="C13" s="5" t="str">
        <v>详细方案</v>
      </c>
      <c r="D13" s="5" t="str">
        <v>4、完成详细方案修改</v>
      </c>
      <c r="E13" s="2">
        <f>F12</f>
      </c>
      <c r="F13" s="2">
        <f>WORKDAY.INTL(E13,G13)</f>
      </c>
      <c r="G13" s="3">
        <v>10</v>
      </c>
      <c r="H13" s="3" t="str">
        <v>陈亚男</v>
      </c>
      <c r="I13" s="3" t="str">
        <v>讯飞</v>
      </c>
      <c r="J13" s="3"/>
    </row>
    <row customHeight="true" ht="45" r="14">
      <c r="A14" s="1" t="str">
        <v>讯飞方案设计</v>
      </c>
      <c r="B14" s="1" t="str">
        <v>方案执行</v>
      </c>
      <c r="C14" s="5" t="str">
        <v>详细方案方案执行跟踪</v>
      </c>
      <c r="D14" s="5" t="str">
        <v>5、完成融通侧双中心服务器资源协调与建设计划同步
6、跟踪整体建设方案、进度</v>
      </c>
      <c r="E14" s="2">
        <f>F13</f>
      </c>
      <c r="F14" s="2">
        <f>WORKDAY.INTL(E14,G14)</f>
      </c>
      <c r="G14" s="3">
        <v>30</v>
      </c>
      <c r="H14" s="3" t="str">
        <v>陈亚男</v>
      </c>
      <c r="I14" s="3" t="str">
        <v>讯飞</v>
      </c>
      <c r="J14" s="3" t="str">
        <v>未开始</v>
      </c>
    </row>
    <row customHeight="true" ht="19" r="15">
      <c r="A15" s="1" t="str">
        <v>讯飞方案设计</v>
      </c>
      <c r="B15" s="1" t="str">
        <v>资源评估</v>
      </c>
      <c r="C15" s="5" t="str">
        <v>根据天翼云规划的机器进行应用服务规划</v>
      </c>
      <c r="D15" s="5" t="str">
        <v>1、将单中心、双集群梳理为双中心双集群</v>
      </c>
      <c r="E15" s="2">
        <f>F8</f>
      </c>
      <c r="F15" s="2">
        <f>WORKDAY.INTL(E15,G15)</f>
      </c>
      <c r="G15" s="3">
        <v>5</v>
      </c>
      <c r="H15" s="3" t="str">
        <v>待协调运维1</v>
      </c>
      <c r="I15" s="3" t="str">
        <v>讯飞</v>
      </c>
      <c r="J15" s="3" t="str">
        <v>未开始</v>
      </c>
    </row>
    <row customHeight="true" ht="36" r="16">
      <c r="A16" s="1" t="str">
        <v>讯飞服务迁移</v>
      </c>
      <c r="B16" s="1" t="str">
        <v>网络关系梳理</v>
      </c>
      <c r="C16" s="5" t="str">
        <v>根据天翼云迁移后机器网络，进行网络关系梳理</v>
      </c>
      <c r="D16" s="5" t="str">
        <v>1、梳理双中心网络关系</v>
      </c>
      <c r="E16" s="2">
        <f>F15</f>
      </c>
      <c r="F16" s="10">
        <f>WORKDAY.INTL(E16,G16)</f>
      </c>
      <c r="G16" s="3">
        <v>5</v>
      </c>
      <c r="H16" s="3" t="str">
        <v>待协调运维1</v>
      </c>
      <c r="I16" s="3" t="str">
        <v>讯飞</v>
      </c>
      <c r="J16" s="3" t="str">
        <v>未开始</v>
      </c>
    </row>
    <row customHeight="true" ht="34" r="17">
      <c r="A17" s="1" t="str">
        <v>讯飞方案设计</v>
      </c>
      <c r="B17" s="1" t="str">
        <v>计划输出</v>
      </c>
      <c r="C17" s="5" t="str">
        <v>产品改造详细计划输出</v>
      </c>
      <c r="D17" s="5" t="str">
        <v>1、涉及产品改造方案输出</v>
      </c>
      <c r="E17" s="2">
        <f>E9</f>
      </c>
      <c r="F17" s="2">
        <f>WORKDAY.INTL(E17,G17)</f>
      </c>
      <c r="G17" s="3">
        <v>10</v>
      </c>
      <c r="H17" s="3" t="str">
        <v>待协调1</v>
      </c>
      <c r="I17" s="3" t="str">
        <v>讯飞</v>
      </c>
      <c r="J17" s="3" t="str">
        <v>未开始</v>
      </c>
    </row>
    <row customHeight="true" ht="34" r="18">
      <c r="A18" s="1" t="str">
        <v>讯飞方案设计</v>
      </c>
      <c r="B18" s="1" t="str">
        <v>计划输出</v>
      </c>
      <c r="C18" s="5" t="str">
        <v>产品改造详细计划输出</v>
      </c>
      <c r="D18" s="5" t="str">
        <v>2、涉及产品改造方案方案评审</v>
      </c>
      <c r="E18" s="2">
        <f>F17</f>
      </c>
      <c r="F18" s="2">
        <f>WORKDAY.INTL(E18,G18)</f>
      </c>
      <c r="G18" s="3">
        <v>10</v>
      </c>
      <c r="H18" s="3" t="str">
        <v>待协调1</v>
      </c>
      <c r="I18" s="3" t="str">
        <v>讯飞</v>
      </c>
      <c r="J18" s="3" t="str">
        <v>未开始</v>
      </c>
    </row>
    <row customHeight="true" ht="34" r="19">
      <c r="A19" s="1" t="str">
        <v>讯飞方案设计</v>
      </c>
      <c r="B19" s="1" t="str">
        <v>方案验证</v>
      </c>
      <c r="C19" s="5" t="str">
        <v>产品方案验证</v>
      </c>
      <c r="D19" s="5" t="str">
        <v>3、方案验证</v>
      </c>
      <c r="E19" s="2">
        <f>F18</f>
      </c>
      <c r="F19" s="10">
        <f>WORKDAY.INTL(E19,G19)</f>
      </c>
      <c r="G19" s="3">
        <v>10</v>
      </c>
      <c r="H19" s="3" t="str">
        <v>待协调1</v>
      </c>
      <c r="I19" s="3" t="str">
        <v>讯飞</v>
      </c>
      <c r="J19" s="3" t="str">
        <v>未开始</v>
      </c>
    </row>
    <row customHeight="true" ht="34" r="20">
      <c r="A20" s="1" t="str">
        <v>讯飞方案设计</v>
      </c>
      <c r="B20" s="1" t="str">
        <v>方案验证</v>
      </c>
      <c r="C20" s="5" t="str">
        <v>产品方案调整</v>
      </c>
      <c r="D20" s="5" t="str">
        <v>4、方案调整</v>
      </c>
      <c r="E20" s="2">
        <f>F19</f>
      </c>
      <c r="F20" s="10">
        <f>WORKDAY.INTL(E20,G20)</f>
      </c>
      <c r="G20" s="3">
        <v>10</v>
      </c>
      <c r="H20" s="3" t="str">
        <v>待协调1</v>
      </c>
      <c r="I20" s="3" t="str">
        <v>讯飞</v>
      </c>
      <c r="J20" s="3" t="str">
        <v>未开始</v>
      </c>
    </row>
    <row customHeight="true" ht="34" r="21">
      <c r="A21" s="1" t="str">
        <v>讯飞方案设计</v>
      </c>
      <c r="B21" s="1" t="str">
        <v>计划输出</v>
      </c>
      <c r="C21" s="5" t="str">
        <v>中间件详细计划输出</v>
      </c>
      <c r="D21" s="5" t="str">
        <v>1、涉及中间件改造方案输出
</v>
      </c>
      <c r="E21" s="2">
        <f>E9</f>
      </c>
      <c r="F21" s="2">
        <f>WORKDAY.INTL(E21,G21)</f>
      </c>
      <c r="G21" s="3">
        <v>10</v>
      </c>
      <c r="H21" s="3" t="str">
        <v>待协调2</v>
      </c>
      <c r="I21" s="3" t="str">
        <v>讯飞</v>
      </c>
      <c r="J21" s="3" t="str">
        <v>未开始</v>
      </c>
    </row>
    <row customHeight="true" ht="34" r="22">
      <c r="A22" s="1" t="str">
        <v>讯飞方案设计</v>
      </c>
      <c r="B22" s="1" t="str">
        <v>计划输出</v>
      </c>
      <c r="C22" s="5" t="str">
        <v>中间件详细计划输出</v>
      </c>
      <c r="D22" s="5" t="str">
        <v>2、方案评审</v>
      </c>
      <c r="E22" s="2">
        <f>F21</f>
      </c>
      <c r="F22" s="2">
        <f>WORKDAY.INTL(E22,G22)</f>
      </c>
      <c r="G22" s="3">
        <v>10</v>
      </c>
      <c r="H22" s="3" t="str">
        <v>待协调2</v>
      </c>
      <c r="I22" s="3" t="str">
        <v>讯飞</v>
      </c>
      <c r="J22" s="3" t="str">
        <v>未开始</v>
      </c>
    </row>
    <row customHeight="true" ht="34" r="23">
      <c r="A23" s="1" t="str">
        <v>讯飞方案设计</v>
      </c>
      <c r="B23" s="1" t="str">
        <v>方案验证</v>
      </c>
      <c r="C23" s="5" t="str">
        <v>中间件方案验证</v>
      </c>
      <c r="D23" s="5" t="str">
        <v>3、方案验证</v>
      </c>
      <c r="E23" s="2">
        <f>F22</f>
      </c>
      <c r="F23" s="10">
        <f>WORKDAY.INTL(E23,G23)</f>
      </c>
      <c r="G23" s="3">
        <v>10</v>
      </c>
      <c r="H23" s="3" t="str">
        <v>待协调2</v>
      </c>
      <c r="I23" s="3" t="str">
        <v>讯飞</v>
      </c>
      <c r="J23" s="3" t="str">
        <v>未开始</v>
      </c>
    </row>
    <row customHeight="true" ht="34" r="24">
      <c r="A24" s="1" t="str">
        <v>讯飞方案设计</v>
      </c>
      <c r="B24" s="1" t="str">
        <v>方案验证</v>
      </c>
      <c r="C24" s="5" t="str">
        <v>中间件方案调整</v>
      </c>
      <c r="D24" s="5" t="str">
        <v>4、方案调整</v>
      </c>
      <c r="E24" s="2">
        <f>F23</f>
      </c>
      <c r="F24" s="10">
        <f>WORKDAY.INTL(E24,G24)</f>
      </c>
      <c r="G24" s="3">
        <v>10</v>
      </c>
      <c r="H24" s="3" t="str">
        <v>待协调2</v>
      </c>
      <c r="I24" s="3" t="str">
        <v>讯飞</v>
      </c>
      <c r="J24" s="3" t="str">
        <v>未开始</v>
      </c>
    </row>
    <row customHeight="true" ht="19" r="25">
      <c r="A25" s="1" t="str">
        <v>讯飞服务改造</v>
      </c>
      <c r="B25" s="1" t="str">
        <v>语音系统改造</v>
      </c>
      <c r="C25" s="5" t="str">
        <v>AICC座席工作台</v>
      </c>
      <c r="D25" s="5" t="str">
        <v>1、应用改造</v>
      </c>
      <c r="E25" s="2">
        <f>F21</f>
      </c>
      <c r="F25" s="2">
        <f>WORKDAY.INTL(E25,G25)</f>
      </c>
      <c r="G25" s="3">
        <v>10</v>
      </c>
      <c r="H25" s="3" t="str">
        <v>待协调1</v>
      </c>
      <c r="I25" s="3" t="str">
        <v>讯飞</v>
      </c>
      <c r="J25" s="3" t="str">
        <v>未开始</v>
      </c>
    </row>
    <row customHeight="true" ht="19" r="26">
      <c r="A26" s="1" t="str">
        <v>讯飞服务改造</v>
      </c>
      <c r="B26" s="1" t="str">
        <v>语音系统改造</v>
      </c>
      <c r="C26" s="5" t="str">
        <v>AICC座席工作台</v>
      </c>
      <c r="D26" s="5" t="str">
        <v>2、应用功能测试</v>
      </c>
      <c r="E26" s="2">
        <f>F25</f>
      </c>
      <c r="F26" s="2">
        <f>WORKDAY.INTL(E26,G26)</f>
      </c>
      <c r="G26" s="3">
        <v>10</v>
      </c>
      <c r="H26" s="3" t="str">
        <v>待协调1</v>
      </c>
      <c r="I26" s="3" t="str">
        <v>讯飞</v>
      </c>
      <c r="J26" s="3" t="str">
        <v>未开始</v>
      </c>
    </row>
    <row customHeight="true" ht="19" r="27">
      <c r="A27" s="1" t="str">
        <v>讯飞服务改造</v>
      </c>
      <c r="B27" s="1" t="str">
        <v>语音系统改造</v>
      </c>
      <c r="C27" s="5" t="str">
        <v>AICC座席工作台</v>
      </c>
      <c r="D27" s="5" t="str">
        <v>3、应用性能测试</v>
      </c>
      <c r="E27" s="2">
        <f>F26</f>
      </c>
      <c r="F27" s="2">
        <f>WORKDAY.INTL(E27,G27)</f>
      </c>
      <c r="G27" s="3">
        <v>10</v>
      </c>
      <c r="H27" s="3" t="str">
        <v>待协调1</v>
      </c>
      <c r="I27" s="3" t="str">
        <v>讯飞</v>
      </c>
      <c r="J27" s="3" t="str">
        <v>未开始</v>
      </c>
    </row>
    <row customHeight="true" ht="19" r="28">
      <c r="A28" s="1" t="str">
        <v>讯飞服务改造</v>
      </c>
      <c r="B28" s="1" t="str">
        <v>语音系统改造</v>
      </c>
      <c r="C28" s="5" t="str">
        <v>软交换平台</v>
      </c>
      <c r="D28" s="5" t="str">
        <v>1、应用改造</v>
      </c>
      <c r="E28" s="2">
        <f>F21</f>
      </c>
      <c r="F28" s="2">
        <f>WORKDAY.INTL(E28,G28)</f>
      </c>
      <c r="G28" s="3">
        <v>10</v>
      </c>
      <c r="H28" s="3" t="str">
        <v>待协调2</v>
      </c>
      <c r="I28" s="3" t="str">
        <v>讯飞</v>
      </c>
      <c r="J28" s="3" t="str">
        <v>未开始</v>
      </c>
    </row>
    <row customHeight="true" ht="19" r="29">
      <c r="A29" s="1" t="str">
        <v>讯飞服务改造</v>
      </c>
      <c r="B29" s="1" t="str">
        <v>语音系统改造</v>
      </c>
      <c r="C29" s="5" t="str">
        <v>软交换平台</v>
      </c>
      <c r="D29" s="5" t="str">
        <v>2、应用功能测试</v>
      </c>
      <c r="E29" s="2">
        <f>F28</f>
      </c>
      <c r="F29" s="2">
        <f>WORKDAY.INTL(E29,G29)</f>
      </c>
      <c r="G29" s="3">
        <v>10</v>
      </c>
      <c r="H29" s="3" t="str">
        <v>待协调2</v>
      </c>
      <c r="I29" s="3" t="str">
        <v>讯飞</v>
      </c>
      <c r="J29" s="3" t="str">
        <v>未开始</v>
      </c>
    </row>
    <row customHeight="true" ht="19" r="30">
      <c r="A30" s="1" t="str">
        <v>讯飞服务改造</v>
      </c>
      <c r="B30" s="1" t="str">
        <v>语音系统改造</v>
      </c>
      <c r="C30" s="5" t="str">
        <v>软交换平台</v>
      </c>
      <c r="D30" s="5" t="str">
        <v>3、应用性能测试</v>
      </c>
      <c r="E30" s="2">
        <f>F29</f>
      </c>
      <c r="F30" s="2">
        <f>WORKDAY.INTL(E30,G30)</f>
      </c>
      <c r="G30" s="3">
        <v>10</v>
      </c>
      <c r="H30" s="3" t="str">
        <v>待协调2</v>
      </c>
      <c r="I30" s="3" t="str">
        <v>讯飞</v>
      </c>
      <c r="J30" s="3" t="str">
        <v>未开始</v>
      </c>
    </row>
    <row customHeight="true" ht="19" r="31">
      <c r="A31" s="1" t="str">
        <v>讯飞服务改造</v>
      </c>
      <c r="B31" s="1" t="str">
        <v>在线系统改造</v>
      </c>
      <c r="C31" s="5" t="str">
        <v>IM文字客服</v>
      </c>
      <c r="D31" s="5" t="str">
        <v>1、应用改造</v>
      </c>
      <c r="E31" s="2">
        <f>F21</f>
      </c>
      <c r="F31" s="2">
        <f>WORKDAY.INTL(E31,G31)</f>
      </c>
      <c r="G31" s="3">
        <v>10</v>
      </c>
      <c r="H31" s="3" t="str">
        <v>待协调3</v>
      </c>
      <c r="I31" s="3" t="str">
        <v>讯飞</v>
      </c>
      <c r="J31" s="3" t="str">
        <v>未开始</v>
      </c>
      <c r="K31" s="9"/>
    </row>
    <row customHeight="true" ht="19" r="32">
      <c r="A32" s="1" t="str">
        <v>讯飞服务改造</v>
      </c>
      <c r="B32" s="1" t="str">
        <v>在线系统改造</v>
      </c>
      <c r="C32" s="5" t="str">
        <v>IM文字客服</v>
      </c>
      <c r="D32" s="5" t="str">
        <v>2、应用功能测试</v>
      </c>
      <c r="E32" s="2">
        <f>F31</f>
      </c>
      <c r="F32" s="2">
        <f>WORKDAY.INTL(E32,G32)</f>
      </c>
      <c r="G32" s="3">
        <v>10</v>
      </c>
      <c r="H32" s="3" t="str">
        <v>待协调3</v>
      </c>
      <c r="I32" s="3" t="str">
        <v>讯飞</v>
      </c>
      <c r="J32" s="3" t="str">
        <v>未开始</v>
      </c>
      <c r="K32" s="9"/>
    </row>
    <row customHeight="true" ht="19" r="33">
      <c r="A33" s="1" t="str">
        <v>讯飞服务改造</v>
      </c>
      <c r="B33" s="1" t="str">
        <v>在线系统改造</v>
      </c>
      <c r="C33" s="5" t="str">
        <v>IM文字客服</v>
      </c>
      <c r="D33" s="5" t="str">
        <v>3、应用性能测试</v>
      </c>
      <c r="E33" s="2">
        <f>F32</f>
      </c>
      <c r="F33" s="2">
        <f>WORKDAY.INTL(E33,G33)</f>
      </c>
      <c r="G33" s="3">
        <v>10</v>
      </c>
      <c r="H33" s="3" t="str">
        <v>待协调3</v>
      </c>
      <c r="I33" s="3" t="str">
        <v>讯飞</v>
      </c>
      <c r="J33" s="3" t="str">
        <v>未开始</v>
      </c>
      <c r="K33" s="9"/>
    </row>
    <row customHeight="true" ht="19" r="34">
      <c r="A34" s="35" t="str">
        <v>讯飞服务改造</v>
      </c>
      <c r="B34" s="35" t="str">
        <v>智能化服务改造</v>
      </c>
      <c r="C34" s="36" t="str">
        <v>融智知识库</v>
      </c>
      <c r="D34" s="36" t="str">
        <v>1、应用改造</v>
      </c>
      <c r="E34" s="37"/>
      <c r="F34" s="37"/>
      <c r="G34" s="38"/>
      <c r="H34" s="38" t="str">
        <v>待协调4</v>
      </c>
      <c r="I34" s="38" t="str">
        <v>讯飞</v>
      </c>
      <c r="J34" s="38" t="str">
        <v>未开始</v>
      </c>
      <c r="K34" s="34" t="str">
        <v>优先级降低</v>
      </c>
    </row>
    <row customHeight="true" ht="19" r="35">
      <c r="A35" s="35" t="str">
        <v>讯飞服务改造</v>
      </c>
      <c r="B35" s="35" t="str">
        <v>智能化服务改造</v>
      </c>
      <c r="C35" s="36" t="str">
        <v>融智知识库</v>
      </c>
      <c r="D35" s="36" t="str">
        <v>2、应用功能测试</v>
      </c>
      <c r="E35" s="37"/>
      <c r="F35" s="37"/>
      <c r="G35" s="38"/>
      <c r="H35" s="38" t="str">
        <v>待协调4</v>
      </c>
      <c r="I35" s="38" t="str">
        <v>讯飞</v>
      </c>
      <c r="J35" s="38" t="str">
        <v>未开始</v>
      </c>
      <c r="K35" s="34" t="str">
        <v>优先级降低</v>
      </c>
    </row>
    <row customHeight="true" ht="19" r="36">
      <c r="A36" s="35" t="str">
        <v>讯飞服务改造</v>
      </c>
      <c r="B36" s="35" t="str">
        <v>智能化服务改造</v>
      </c>
      <c r="C36" s="36" t="str">
        <v>融智知识库</v>
      </c>
      <c r="D36" s="36" t="str">
        <v>3、应用性能测试</v>
      </c>
      <c r="E36" s="37"/>
      <c r="F36" s="37"/>
      <c r="G36" s="38"/>
      <c r="H36" s="38" t="str">
        <v>待协调4</v>
      </c>
      <c r="I36" s="38" t="str">
        <v>讯飞</v>
      </c>
      <c r="J36" s="38" t="str">
        <v>未开始</v>
      </c>
      <c r="K36" s="34" t="str">
        <v>优先级降低</v>
      </c>
    </row>
    <row customHeight="true" ht="19" r="37">
      <c r="A37" s="35" t="str">
        <v>讯飞服务改造</v>
      </c>
      <c r="B37" s="35" t="str">
        <v>智能化服务改造</v>
      </c>
      <c r="C37" s="36" t="str">
        <v>AI+管理平台</v>
      </c>
      <c r="D37" s="36"/>
      <c r="E37" s="37"/>
      <c r="F37" s="37"/>
      <c r="G37" s="38"/>
      <c r="H37" s="38" t="str">
        <v>待协调5</v>
      </c>
      <c r="I37" s="38" t="str">
        <v>讯飞</v>
      </c>
      <c r="J37" s="38" t="str">
        <v>未开始</v>
      </c>
      <c r="K37" s="34" t="str">
        <v>优先级降低</v>
      </c>
    </row>
    <row customHeight="true" ht="19" r="38">
      <c r="A38" s="35" t="str">
        <v>讯飞服务改造</v>
      </c>
      <c r="B38" s="35" t="str">
        <v>智能化服务改造</v>
      </c>
      <c r="C38" s="36" t="str">
        <v>智能外呼</v>
      </c>
      <c r="D38" s="36"/>
      <c r="E38" s="37"/>
      <c r="F38" s="37"/>
      <c r="G38" s="38"/>
      <c r="H38" s="38" t="str">
        <v>待协调5</v>
      </c>
      <c r="I38" s="38" t="str">
        <v>讯飞</v>
      </c>
      <c r="J38" s="38" t="str">
        <v>未开始</v>
      </c>
      <c r="K38" s="34" t="str">
        <v>优先级降低</v>
      </c>
    </row>
    <row customHeight="true" ht="19" r="39">
      <c r="A39" s="35" t="str">
        <v>讯飞服务改造</v>
      </c>
      <c r="B39" s="35" t="str">
        <v>智能化服务改造</v>
      </c>
      <c r="C39" s="36" t="str">
        <v>智能质检</v>
      </c>
      <c r="D39" s="36"/>
      <c r="E39" s="37"/>
      <c r="F39" s="37"/>
      <c r="G39" s="38"/>
      <c r="H39" s="38" t="str">
        <v>待协调5</v>
      </c>
      <c r="I39" s="38" t="str">
        <v>讯飞</v>
      </c>
      <c r="J39" s="38" t="str">
        <v>未开始</v>
      </c>
      <c r="K39" s="34" t="str">
        <v>优先级降低</v>
      </c>
    </row>
    <row customHeight="true" ht="19" r="40">
      <c r="A40" s="35" t="str">
        <v>讯飞服务改造</v>
      </c>
      <c r="B40" s="35" t="str">
        <v>智能化服务改造</v>
      </c>
      <c r="C40" s="36" t="str">
        <v>智能助手</v>
      </c>
      <c r="D40" s="36"/>
      <c r="E40" s="37"/>
      <c r="F40" s="37"/>
      <c r="G40" s="38"/>
      <c r="H40" s="38" t="str">
        <v>待协调5</v>
      </c>
      <c r="I40" s="38" t="str">
        <v>讯飞</v>
      </c>
      <c r="J40" s="38" t="str">
        <v>未开始</v>
      </c>
      <c r="K40" s="34" t="str">
        <v>优先级降低</v>
      </c>
    </row>
    <row customHeight="true" ht="19" r="41">
      <c r="A41" s="35" t="str">
        <v>讯飞服务改造</v>
      </c>
      <c r="B41" s="35" t="str">
        <v>周边服务改造</v>
      </c>
      <c r="C41" s="36" t="str">
        <v>人工质检</v>
      </c>
      <c r="D41" s="36"/>
      <c r="E41" s="37"/>
      <c r="F41" s="37"/>
      <c r="G41" s="38"/>
      <c r="H41" s="38" t="str">
        <v>待协调5</v>
      </c>
      <c r="I41" s="38" t="str">
        <v>讯飞</v>
      </c>
      <c r="J41" s="38" t="str">
        <v>未开始</v>
      </c>
      <c r="K41" s="34" t="str">
        <v>优先级降低</v>
      </c>
    </row>
    <row customHeight="true" ht="19" r="42">
      <c r="A42" s="35" t="str">
        <v>讯飞服务改造</v>
      </c>
      <c r="B42" s="35" t="str">
        <v>周边服务改造</v>
      </c>
      <c r="C42" s="36" t="str">
        <v>监控平台</v>
      </c>
      <c r="D42" s="36"/>
      <c r="E42" s="37"/>
      <c r="F42" s="37"/>
      <c r="G42" s="38"/>
      <c r="H42" s="38" t="str">
        <v>待协调5</v>
      </c>
      <c r="I42" s="38" t="str">
        <v>讯飞</v>
      </c>
      <c r="J42" s="38" t="str">
        <v>未开始</v>
      </c>
      <c r="K42" s="34" t="str">
        <v>优先级降低</v>
      </c>
    </row>
    <row customHeight="true" ht="19" r="43">
      <c r="A43" s="35" t="str">
        <v>讯飞服务改造</v>
      </c>
      <c r="B43" s="35" t="str">
        <v>数据服务改造</v>
      </c>
      <c r="C43" s="36" t="str">
        <v>数据运营/能力平台</v>
      </c>
      <c r="D43" s="36"/>
      <c r="E43" s="37"/>
      <c r="F43" s="37"/>
      <c r="G43" s="38"/>
      <c r="H43" s="38" t="str">
        <v>待协调5</v>
      </c>
      <c r="I43" s="38" t="str">
        <v>讯飞</v>
      </c>
      <c r="J43" s="38" t="str">
        <v>未开始</v>
      </c>
      <c r="K43" s="34" t="str">
        <v>优先级降低</v>
      </c>
    </row>
    <row customHeight="true" ht="19" r="44">
      <c r="A44" s="1" t="str">
        <v>讯飞服务改造</v>
      </c>
      <c r="B44" s="1" t="str">
        <v>周边服务改造</v>
      </c>
      <c r="C44" s="5" t="str">
        <v>UAP</v>
      </c>
      <c r="D44" s="5" t="str">
        <v>1、应用改造</v>
      </c>
      <c r="E44" s="2">
        <f>F21</f>
      </c>
      <c r="F44" s="2">
        <f>WORKDAY.INTL(E44,G44)</f>
      </c>
      <c r="G44" s="3">
        <v>10</v>
      </c>
      <c r="H44" s="3" t="str">
        <v>待协调4</v>
      </c>
      <c r="I44" s="3" t="str">
        <v>讯飞</v>
      </c>
      <c r="J44" s="3" t="str">
        <v>未开始</v>
      </c>
    </row>
    <row customHeight="true" ht="19" r="45">
      <c r="A45" s="1" t="str">
        <v>讯飞服务改造</v>
      </c>
      <c r="B45" s="1" t="str">
        <v>周边服务改造</v>
      </c>
      <c r="C45" s="5" t="str">
        <v>UAP</v>
      </c>
      <c r="D45" s="5" t="str">
        <v>2、应用功能测试</v>
      </c>
      <c r="E45" s="2">
        <f>F44</f>
      </c>
      <c r="F45" s="2">
        <f>WORKDAY.INTL(E45,G45)</f>
      </c>
      <c r="G45" s="3">
        <v>10</v>
      </c>
      <c r="H45" s="3" t="str">
        <v>待协调4</v>
      </c>
      <c r="I45" s="3" t="str">
        <v>讯飞</v>
      </c>
      <c r="J45" s="3" t="str">
        <v>未开始</v>
      </c>
    </row>
    <row customHeight="true" ht="19" r="46">
      <c r="A46" s="1" t="str">
        <v>讯飞服务改造</v>
      </c>
      <c r="B46" s="1" t="str">
        <v>周边服务改造</v>
      </c>
      <c r="C46" s="5" t="str">
        <v>UAP</v>
      </c>
      <c r="D46" s="5" t="str">
        <v>3、应用性能测试</v>
      </c>
      <c r="E46" s="2">
        <f>F45</f>
      </c>
      <c r="F46" s="2">
        <f>WORKDAY.INTL(E46,G46)</f>
      </c>
      <c r="G46" s="3">
        <v>10</v>
      </c>
      <c r="H46" s="3" t="str">
        <v>待协调4</v>
      </c>
      <c r="I46" s="3" t="str">
        <v>讯飞</v>
      </c>
      <c r="J46" s="3" t="str">
        <v>未开始</v>
      </c>
    </row>
    <row customHeight="true" ht="19" r="47">
      <c r="A47" s="1" t="str">
        <v>讯飞服务改造</v>
      </c>
      <c r="B47" s="1" t="str">
        <v>存储系统改造</v>
      </c>
      <c r="C47" s="5" t="str">
        <v>Storage\S3协议对接等</v>
      </c>
      <c r="D47" s="5" t="str">
        <v>1、应用改造</v>
      </c>
      <c r="E47" s="2">
        <f>F21</f>
      </c>
      <c r="F47" s="2">
        <f>WORKDAY.INTL(E47,G47)</f>
      </c>
      <c r="G47" s="3">
        <v>10</v>
      </c>
      <c r="H47" s="3" t="str">
        <v>待协调4</v>
      </c>
      <c r="I47" s="3" t="str">
        <v>讯飞</v>
      </c>
      <c r="J47" s="3" t="str">
        <v>未开始</v>
      </c>
    </row>
    <row customHeight="true" ht="19" r="48">
      <c r="A48" s="1" t="str">
        <v>讯飞服务改造</v>
      </c>
      <c r="B48" s="1" t="str">
        <v>存储系统改造</v>
      </c>
      <c r="C48" s="5" t="str">
        <v>Storage\S3协议对接等</v>
      </c>
      <c r="D48" s="5" t="str">
        <v>2、应用功能测试</v>
      </c>
      <c r="E48" s="2">
        <f>F47</f>
      </c>
      <c r="F48" s="2">
        <f>WORKDAY.INTL(E48,G48)</f>
      </c>
      <c r="G48" s="3">
        <v>10</v>
      </c>
      <c r="H48" s="3" t="str">
        <v>待协调4</v>
      </c>
      <c r="I48" s="3" t="str">
        <v>讯飞</v>
      </c>
      <c r="J48" s="3" t="str">
        <v>未开始</v>
      </c>
    </row>
    <row customHeight="true" ht="19" r="49">
      <c r="A49" s="1" t="str">
        <v>讯飞服务改造</v>
      </c>
      <c r="B49" s="1" t="str">
        <v>存储系统改造</v>
      </c>
      <c r="C49" s="5" t="str">
        <v>Storage\S3协议对接等</v>
      </c>
      <c r="D49" s="5" t="str">
        <v>3、应用性能测试</v>
      </c>
      <c r="E49" s="2">
        <f>F48</f>
      </c>
      <c r="F49" s="2">
        <f>WORKDAY.INTL(E49,G49)</f>
      </c>
      <c r="G49" s="3">
        <v>10</v>
      </c>
      <c r="H49" s="3" t="str">
        <v>待协调4</v>
      </c>
      <c r="I49" s="3" t="str">
        <v>讯飞</v>
      </c>
      <c r="J49" s="3" t="str">
        <v>未开始</v>
      </c>
    </row>
    <row r="50">
      <c r="A50" s="1" t="str">
        <v>讯飞服务改造</v>
      </c>
      <c r="B50" s="1" t="str">
        <v>中间件同步工具研发</v>
      </c>
      <c r="C50" s="5" t="str">
        <v>天翼云无法上云中间件改造</v>
      </c>
      <c r="D50" s="5" t="str">
        <v>1、中间件双中心方案计划输出</v>
      </c>
      <c r="E50" s="2">
        <f>F21</f>
      </c>
      <c r="F50" s="2">
        <f>WORKDAY.INTL(E50,G50)</f>
      </c>
      <c r="G50" s="3">
        <v>10</v>
      </c>
      <c r="H50" s="3" t="str">
        <v>待协调2</v>
      </c>
      <c r="I50" s="3" t="str">
        <v>讯飞</v>
      </c>
      <c r="J50" s="3" t="str">
        <v>未开始</v>
      </c>
    </row>
    <row customHeight="true" ht="19" r="51">
      <c r="A51" s="1" t="str">
        <v>讯飞服务改造</v>
      </c>
      <c r="B51" s="1" t="str">
        <v>中间件同步工具研发</v>
      </c>
      <c r="C51" s="5" t="str">
        <v>天翼云无法上云中间件改造</v>
      </c>
      <c r="D51" s="5" t="str">
        <v>2、中间件双中心改造</v>
      </c>
      <c r="E51" s="2">
        <f>F50</f>
      </c>
      <c r="F51" s="2">
        <f>WORKDAY.INTL(E51,G51)</f>
      </c>
      <c r="G51" s="3">
        <v>20</v>
      </c>
      <c r="H51" s="3" t="str">
        <v>待协调2</v>
      </c>
      <c r="I51" s="3" t="str">
        <v>讯飞</v>
      </c>
      <c r="J51" s="3" t="str">
        <v>未开始</v>
      </c>
    </row>
    <row customHeight="true" ht="19" r="52">
      <c r="A52" s="1" t="str">
        <v>讯飞服务改造</v>
      </c>
      <c r="B52" s="1" t="str">
        <v>中间件同步工具研发</v>
      </c>
      <c r="C52" s="5" t="str">
        <v>天翼云无法上云中间件改造</v>
      </c>
      <c r="D52" s="5" t="str">
        <v>3、中间件双中心测试</v>
      </c>
      <c r="E52" s="2">
        <f>F51</f>
      </c>
      <c r="F52" s="2">
        <f>WORKDAY.INTL(E52,G52)</f>
      </c>
      <c r="G52" s="3">
        <v>20</v>
      </c>
      <c r="H52" s="3" t="str">
        <v>待协调2</v>
      </c>
      <c r="I52" s="3" t="str">
        <v>讯飞</v>
      </c>
      <c r="J52" s="3" t="str">
        <v>未开始</v>
      </c>
    </row>
    <row customHeight="true" ht="19" r="53">
      <c r="A53" s="1" t="str">
        <v>讯飞服务改造</v>
      </c>
      <c r="B53" s="1" t="str">
        <v>中间件同步工具研发</v>
      </c>
      <c r="C53" s="5" t="str">
        <v>天翼云无法上云中间件改造</v>
      </c>
      <c r="D53" s="5" t="str">
        <v>4、中间件双中心性能</v>
      </c>
      <c r="E53" s="2">
        <f>F52</f>
      </c>
      <c r="F53" s="2">
        <f>WORKDAY.INTL(E53,G53)</f>
      </c>
      <c r="G53" s="3">
        <v>10</v>
      </c>
      <c r="H53" s="3" t="str">
        <v>待协调2</v>
      </c>
      <c r="I53" s="3" t="str">
        <v>讯飞</v>
      </c>
      <c r="J53" s="3" t="str">
        <v>未开始</v>
      </c>
    </row>
    <row customHeight="true" ht="36" r="54">
      <c r="A54" s="1" t="str">
        <v>讯飞服务迁移</v>
      </c>
      <c r="B54" s="1" t="str">
        <v>服务迁移</v>
      </c>
      <c r="C54" s="5" t="str">
        <v>迁移中间件</v>
      </c>
      <c r="D54" s="5"/>
      <c r="E54" s="2">
        <f>F21</f>
      </c>
      <c r="F54" s="2">
        <f>WORKDAY.INTL(E54,G54)</f>
      </c>
      <c r="G54" s="3">
        <v>10</v>
      </c>
      <c r="H54" s="3" t="str">
        <v>待协调运维1</v>
      </c>
      <c r="I54" s="3" t="str">
        <v>讯飞</v>
      </c>
      <c r="J54" s="3" t="str">
        <v>未开始</v>
      </c>
    </row>
    <row customHeight="true" ht="36" r="55">
      <c r="A55" s="1" t="str">
        <v>讯飞服务迁移</v>
      </c>
      <c r="B55" s="1" t="str">
        <v>服务迁移</v>
      </c>
      <c r="C55" s="5" t="str">
        <v>迁移应用服务</v>
      </c>
      <c r="D55" s="5"/>
      <c r="E55" s="2">
        <f>F54</f>
      </c>
      <c r="F55" s="2">
        <f>WORKDAY.INTL(E55,G55)</f>
      </c>
      <c r="G55" s="3">
        <v>10</v>
      </c>
      <c r="H55" s="3" t="str">
        <v>待协调运维1</v>
      </c>
      <c r="I55" s="3" t="str">
        <v>讯飞</v>
      </c>
      <c r="J55" s="3" t="str">
        <v>未开始</v>
      </c>
    </row>
    <row customHeight="true" ht="36" r="56">
      <c r="A56" s="1" t="str">
        <v>讯飞服务部署</v>
      </c>
      <c r="B56" s="1" t="str">
        <v>双中心部署</v>
      </c>
      <c r="C56" s="5" t="str">
        <v>调整应用服务部署</v>
      </c>
      <c r="D56" s="5"/>
      <c r="E56" s="2">
        <f>F55</f>
      </c>
      <c r="F56" s="10">
        <f>WORKDAY.INTL(E56,G56)</f>
      </c>
      <c r="G56" s="3">
        <v>10</v>
      </c>
      <c r="H56" s="3" t="str">
        <v>待协调运维1</v>
      </c>
      <c r="I56" s="3" t="str">
        <v>讯飞</v>
      </c>
      <c r="J56" s="3" t="str">
        <v>未开始</v>
      </c>
    </row>
    <row customHeight="true" ht="36" r="57">
      <c r="A57" s="1" t="str">
        <v>讯飞服务部署</v>
      </c>
      <c r="B57" s="1" t="str">
        <v>双中心部署</v>
      </c>
      <c r="C57" s="5" t="str">
        <v>调整中间件部署</v>
      </c>
      <c r="D57" s="5"/>
      <c r="E57" s="2">
        <f>F56</f>
      </c>
      <c r="F57" s="10">
        <f>WORKDAY.INTL(E57,G57)</f>
      </c>
      <c r="G57" s="3">
        <v>10</v>
      </c>
      <c r="H57" s="3" t="str">
        <v>待协调运维1</v>
      </c>
      <c r="I57" s="3" t="str">
        <v>讯飞</v>
      </c>
      <c r="J57" s="3" t="str">
        <v>未开始</v>
      </c>
    </row>
    <row customHeight="true" ht="36" r="58">
      <c r="A58" s="1" t="str">
        <v>讯飞服务验证</v>
      </c>
      <c r="B58" s="1" t="str">
        <v>双中心</v>
      </c>
      <c r="C58" s="5" t="str">
        <v>验证双中心功能</v>
      </c>
      <c r="D58" s="5"/>
      <c r="E58" s="2">
        <f>F57</f>
      </c>
      <c r="F58" s="10">
        <f>WORKDAY.INTL(E58,G58)</f>
      </c>
      <c r="G58" s="3">
        <v>10</v>
      </c>
      <c r="H58" s="3" t="str">
        <v>待协调运维1</v>
      </c>
      <c r="I58" s="3" t="str">
        <v>讯飞</v>
      </c>
      <c r="J58" s="3" t="str">
        <v>未开始</v>
      </c>
    </row>
    <row r="59">
      <c r="A59" s="35" t="str">
        <v>试运行</v>
      </c>
      <c r="B59" s="35" t="str">
        <v>双中心双活试运行</v>
      </c>
      <c r="C59" s="36" t="str">
        <v>双中心切换试运行</v>
      </c>
      <c r="D59" s="36"/>
      <c r="E59" s="37">
        <f>F58</f>
      </c>
      <c r="F59" s="37">
        <f>WORKDAY.INTL(E59,G59)</f>
      </c>
      <c r="G59" s="38">
        <v>10</v>
      </c>
      <c r="H59" s="38" t="str">
        <v>待协调运维1</v>
      </c>
      <c r="I59" s="38" t="str">
        <v>讯飞</v>
      </c>
      <c r="J59" s="38" t="str">
        <v>未开始</v>
      </c>
      <c r="K59" s="34" t="str">
        <v>可调整删减</v>
      </c>
    </row>
    <row customHeight="true" ht="19" r="60">
      <c r="A60" s="35" t="str">
        <v>试运行</v>
      </c>
      <c r="B60" s="35" t="str">
        <v>双中心双活正式运行</v>
      </c>
      <c r="C60" s="36" t="str">
        <v>正式运行后运维</v>
      </c>
      <c r="D60" s="36"/>
      <c r="E60" s="37">
        <f>F59</f>
      </c>
      <c r="F60" s="37">
        <f>WORKDAY.INTL(E60,G60)</f>
      </c>
      <c r="G60" s="38">
        <v>20</v>
      </c>
      <c r="H60" s="38" t="str">
        <v>待协调运维1</v>
      </c>
      <c r="I60" s="38" t="str">
        <v>讯飞</v>
      </c>
      <c r="J60" s="38" t="str">
        <v>未开始</v>
      </c>
      <c r="K60" s="34" t="str">
        <v>可调整删减</v>
      </c>
    </row>
    <row customHeight="true" ht="19" r="61">
      <c r="A61" s="35" t="str">
        <v>回退</v>
      </c>
      <c r="B61" s="35" t="str">
        <v>回退</v>
      </c>
      <c r="C61" s="36" t="str">
        <v>双中心运行失败，整体回退</v>
      </c>
      <c r="D61" s="36"/>
      <c r="E61" s="37">
        <f>F60</f>
      </c>
      <c r="F61" s="37">
        <f>WORKDAY.INTL(E61,G61)</f>
      </c>
      <c r="G61" s="38">
        <v>20</v>
      </c>
      <c r="H61" s="38" t="str">
        <v>待协调运维1</v>
      </c>
      <c r="I61" s="38" t="str">
        <v>讯飞</v>
      </c>
      <c r="J61" s="38" t="str">
        <v>未开始</v>
      </c>
      <c r="K61" s="34" t="str">
        <v>可调整删减</v>
      </c>
    </row>
    <row r="62">
      <c r="A62" s="1"/>
      <c r="B62" s="1"/>
      <c r="C62" s="5"/>
      <c r="D62" s="5"/>
      <c r="E62" s="2"/>
      <c r="F62" s="2"/>
      <c r="G62" s="3">
        <f>SUM(G7:G61)</f>
      </c>
      <c r="H62" s="3"/>
      <c r="I62" s="3"/>
      <c r="J62" s="3"/>
    </row>
  </sheetData>
  <dataValidations count="1">
    <dataValidation allowBlank="true" errorStyle="stop" showErrorMessage="true" sqref="J2:J62" type="list">
      <formula1>"已完成,未开始,未通过,进行中"</formula1>
    </dataValidation>
  </dataValidation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10"/>
    <col collapsed="false" customWidth="true" hidden="false" max="9" min="9" style="0" width="9"/>
    <col collapsed="false" customWidth="true" hidden="false" max="10" min="10" style="0" width="10"/>
    <col collapsed="false" customWidth="true" hidden="false" max="11" min="11" style="0" width="17"/>
    <col collapsed="false" customWidth="true" hidden="false" max="12" min="12" style="0" width="17"/>
  </cols>
  <sheetData>
    <row r="1">
      <c r="A1" s="12" t="str">
        <v>大类</v>
      </c>
      <c r="B1" s="12" t="str">
        <v>小类</v>
      </c>
      <c r="C1" s="12" t="str">
        <v>功能调整点</v>
      </c>
      <c r="D1" s="12" t="str">
        <v>详细内容</v>
      </c>
      <c r="E1" s="14" t="str">
        <v>开始时间</v>
      </c>
      <c r="F1" s="14" t="str">
        <v>完成时间</v>
      </c>
      <c r="G1" s="12" t="str">
        <v>工作量预估</v>
      </c>
      <c r="H1" s="12" t="str">
        <v>负责人</v>
      </c>
      <c r="I1" s="12" t="str">
        <v>负责方</v>
      </c>
      <c r="J1" s="12" t="str">
        <v>状态</v>
      </c>
    </row>
    <row customHeight="true" ht="19" r="2">
      <c r="A2" s="1" t="str">
        <v>天翼云迁移</v>
      </c>
      <c r="B2" s="1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3"/>
      <c r="F2" s="3" t="str">
        <v>T</v>
      </c>
      <c r="G2" s="3">
        <v>5</v>
      </c>
      <c r="H2" s="3"/>
      <c r="I2" s="3" t="str">
        <v>天翼云</v>
      </c>
      <c r="J2" s="3" t="str">
        <v>进行中</v>
      </c>
    </row>
    <row customHeight="true" ht="34" r="3">
      <c r="A3" s="1" t="str">
        <v>天翼云迁移</v>
      </c>
      <c r="B3" s="1" t="str">
        <v>环境搭建</v>
      </c>
      <c r="C3" s="5" t="str">
        <v>开通北京 5 至华北的临时专线，在华北开通迁移所 需的全部资源</v>
      </c>
      <c r="D3" s="5"/>
      <c r="E3" s="3"/>
      <c r="F3" s="3"/>
      <c r="G3" s="3">
        <v>5</v>
      </c>
      <c r="H3" s="3"/>
      <c r="I3" s="3" t="str">
        <v>天翼云</v>
      </c>
      <c r="J3" s="3"/>
    </row>
    <row customHeight="true" ht="34" r="4">
      <c r="A4" s="1" t="str">
        <v>天翼云迁移</v>
      </c>
      <c r="B4" s="1" t="str">
        <v>数据迁移</v>
      </c>
      <c r="C4" s="5" t="str">
        <v>通过迁移工具对云主机、弹性文件、对象存储、 RDS 数据库进行数据迁</v>
      </c>
      <c r="D4" s="5"/>
      <c r="E4" s="3"/>
      <c r="F4" s="3"/>
      <c r="G4" s="3">
        <v>20</v>
      </c>
      <c r="H4" s="3"/>
      <c r="I4" s="3" t="str">
        <v>天翼云</v>
      </c>
      <c r="J4" s="3"/>
    </row>
    <row customHeight="true" ht="34" r="5">
      <c r="A5" s="1" t="str">
        <v>天翼云迁移</v>
      </c>
      <c r="B5" s="1" t="str">
        <v>割接准备</v>
      </c>
      <c r="C5" s="5" t="str">
        <v>制定割接计划、完成备线割接、明确各环节操作及 保障人员</v>
      </c>
      <c r="D5" s="5"/>
      <c r="E5" s="3"/>
      <c r="F5" s="3"/>
      <c r="G5" s="3">
        <v>3</v>
      </c>
      <c r="H5" s="3"/>
      <c r="I5" s="3" t="str">
        <v>天翼云</v>
      </c>
      <c r="J5" s="3"/>
    </row>
    <row customHeight="true" ht="34" r="6">
      <c r="A6" s="1" t="str">
        <v>天翼云迁移</v>
      </c>
      <c r="B6" s="1" t="str">
        <v>业务割接</v>
      </c>
      <c r="C6" s="5" t="str">
        <v>按割接方案进行业务割接并验证，迁移完成</v>
      </c>
      <c r="D6" s="5"/>
      <c r="E6" s="3"/>
      <c r="F6" s="3"/>
      <c r="G6" s="3">
        <v>1</v>
      </c>
      <c r="H6" s="3"/>
      <c r="I6" s="3" t="str">
        <v>天翼云</v>
      </c>
      <c r="J6" s="3"/>
    </row>
    <row customHeight="true" ht="34" r="7">
      <c r="A7" s="1" t="str">
        <v>讯飞方案设计</v>
      </c>
      <c r="B7" s="1" t="str">
        <v>方案整理</v>
      </c>
      <c r="C7" s="5" t="str">
        <v>整体双中心双活计划</v>
      </c>
      <c r="D7" s="5" t="s">
        <v>7</v>
      </c>
      <c r="E7" s="40">
        <v>45748</v>
      </c>
      <c r="F7" s="10">
        <f>WORKDAY.INTL(E7,G7)</f>
      </c>
      <c r="G7" s="3">
        <v>5</v>
      </c>
      <c r="H7" s="3" t="str">
        <v>整体负责人</v>
      </c>
      <c r="I7" s="3" t="str">
        <v>讯飞</v>
      </c>
      <c r="J7" s="3" t="str">
        <v>未开始</v>
      </c>
      <c r="K7" s="9"/>
      <c r="L7" s="9"/>
    </row>
    <row customHeight="true" ht="34" r="8">
      <c r="A8" s="1" t="str">
        <v>讯飞方案设计</v>
      </c>
      <c r="B8" s="1" t="str">
        <v>方案整理</v>
      </c>
      <c r="C8" s="5" t="str">
        <v>整体双中心双活计划</v>
      </c>
      <c r="D8" s="5" t="str">
        <v>2、完成建设计划内部评审、优化调整</v>
      </c>
      <c r="E8" s="2">
        <f>F7</f>
      </c>
      <c r="F8" s="10">
        <f>WORKDAY.INTL(E8,G8)</f>
      </c>
      <c r="G8" s="3">
        <v>5</v>
      </c>
      <c r="H8" s="3" t="str">
        <v>整体负责人</v>
      </c>
      <c r="I8" s="3" t="str">
        <v>讯飞</v>
      </c>
      <c r="J8" s="3" t="str">
        <v>未开始</v>
      </c>
    </row>
    <row r="9">
      <c r="A9" s="1" t="str">
        <v>讯飞方案设计</v>
      </c>
      <c r="B9" s="1" t="str">
        <v>方案评估</v>
      </c>
      <c r="C9" s="5" t="str">
        <v>详细方案</v>
      </c>
      <c r="D9" s="5" t="str">
        <v>1、完成详细方案设计
</v>
      </c>
      <c r="E9" s="2">
        <f>F8</f>
      </c>
      <c r="F9" s="2">
        <f>WORKDAY.INTL(E9,G9)</f>
      </c>
      <c r="G9" s="3">
        <v>10</v>
      </c>
      <c r="H9" s="3" t="str">
        <v>整体负责人</v>
      </c>
      <c r="I9" s="3" t="str">
        <v>讯飞</v>
      </c>
      <c r="J9" s="3" t="str">
        <v>未开始</v>
      </c>
    </row>
    <row customHeight="true" ht="45" r="10">
      <c r="A10" s="1" t="str">
        <v>讯飞方案设计</v>
      </c>
      <c r="B10" s="1" t="str">
        <v>方案评估</v>
      </c>
      <c r="C10" s="5" t="str">
        <v>详细方案</v>
      </c>
      <c r="D10" s="5" t="str">
        <v>2、完成详细方案应用可行性验证</v>
      </c>
      <c r="E10" s="2">
        <f>F9</f>
      </c>
      <c r="F10" s="2">
        <f>WORKDAY.INTL(E10,G10)</f>
      </c>
      <c r="G10" s="3">
        <v>10</v>
      </c>
      <c r="H10" s="3" t="str">
        <v>整体负责人</v>
      </c>
      <c r="I10" s="3" t="str">
        <v>讯飞</v>
      </c>
      <c r="J10" s="3" t="str">
        <v>未开始</v>
      </c>
    </row>
    <row customHeight="true" ht="45" r="11">
      <c r="A11" s="1" t="str">
        <v>讯飞方案设计</v>
      </c>
      <c r="B11" s="1" t="str">
        <v>方案评估</v>
      </c>
      <c r="C11" s="5" t="str">
        <v>详细方案</v>
      </c>
      <c r="D11" s="5" t="str">
        <v>3、完成详细方案中间件可行性验证</v>
      </c>
      <c r="E11" s="2">
        <f>F10</f>
      </c>
      <c r="F11" s="2">
        <f>WORKDAY.INTL(E11,G11)</f>
      </c>
      <c r="G11" s="3">
        <v>5</v>
      </c>
      <c r="H11" s="3" t="str">
        <v>整体负责人</v>
      </c>
      <c r="I11" s="3" t="str">
        <v>讯飞</v>
      </c>
      <c r="J11" s="3" t="str">
        <v>未开始</v>
      </c>
    </row>
    <row customHeight="true" ht="45" r="12">
      <c r="A12" s="1" t="str">
        <v>讯飞方案设计</v>
      </c>
      <c r="B12" s="1" t="str">
        <v>方案评估</v>
      </c>
      <c r="C12" s="5" t="str">
        <v>详细方案</v>
      </c>
      <c r="D12" s="5" t="str">
        <v>4、完成详细方案评审</v>
      </c>
      <c r="E12" s="2">
        <f>F11</f>
      </c>
      <c r="F12" s="2">
        <f>WORKDAY.INTL(E12,G12)</f>
      </c>
      <c r="G12" s="3">
        <v>5</v>
      </c>
      <c r="H12" s="3" t="str">
        <v>整体负责人</v>
      </c>
      <c r="I12" s="3" t="str">
        <v>讯飞</v>
      </c>
      <c r="J12" s="3" t="str">
        <v>未开始</v>
      </c>
    </row>
    <row customHeight="true" ht="45" r="13">
      <c r="A13" s="1" t="str">
        <v>讯飞方案设计</v>
      </c>
      <c r="B13" s="1" t="str">
        <v>方案评估</v>
      </c>
      <c r="C13" s="5" t="str">
        <v>详细方案</v>
      </c>
      <c r="D13" s="5" t="str">
        <v>4、完成详细方案修改</v>
      </c>
      <c r="E13" s="2">
        <f>F12</f>
      </c>
      <c r="F13" s="2">
        <f>WORKDAY.INTL(E13,G13)</f>
      </c>
      <c r="G13" s="3">
        <v>10</v>
      </c>
      <c r="H13" s="3" t="str">
        <v>整体负责人</v>
      </c>
      <c r="I13" s="3" t="str">
        <v>讯飞</v>
      </c>
      <c r="J13" s="3" t="str">
        <v>未开始</v>
      </c>
    </row>
    <row customHeight="true" ht="45" r="14">
      <c r="A14" s="1" t="str">
        <v>讯飞方案设计</v>
      </c>
      <c r="B14" s="1" t="str">
        <v>方案执行</v>
      </c>
      <c r="C14" s="5" t="str">
        <v>详细方案方案执行跟踪</v>
      </c>
      <c r="D14" s="5" t="str">
        <v>5、完成融通侧双中心服务器资源协调与建设计划同步
6、跟踪整体建设方案、进度</v>
      </c>
      <c r="E14" s="2">
        <f>F13</f>
      </c>
      <c r="F14" s="2">
        <f>WORKDAY.INTL(E14,G14)</f>
      </c>
      <c r="G14" s="3">
        <v>30</v>
      </c>
      <c r="H14" s="3" t="str">
        <v>整体负责人</v>
      </c>
      <c r="I14" s="3" t="str">
        <v>讯飞</v>
      </c>
      <c r="J14" s="3" t="str">
        <v>未开始</v>
      </c>
    </row>
    <row customHeight="true" ht="19" r="15">
      <c r="A15" s="1" t="str">
        <v>讯飞方案设计</v>
      </c>
      <c r="B15" s="1" t="str">
        <v>资源评估</v>
      </c>
      <c r="C15" s="5" t="str">
        <v>根据天翼云规划的机器进行应用服务规划</v>
      </c>
      <c r="D15" s="5" t="str">
        <v>1、将单中心、双集群梳理为双中心双集群</v>
      </c>
      <c r="E15" s="2">
        <f>F8</f>
      </c>
      <c r="F15" s="2">
        <f>WORKDAY.INTL(E15,G15)</f>
      </c>
      <c r="G15" s="3">
        <v>5</v>
      </c>
      <c r="H15" s="3" t="str">
        <v>待协调运维1</v>
      </c>
      <c r="I15" s="3" t="str">
        <v>讯飞</v>
      </c>
      <c r="J15" s="3" t="str">
        <v>未开始</v>
      </c>
    </row>
    <row customHeight="true" ht="36" r="16">
      <c r="A16" s="1" t="str">
        <v>讯飞服务迁移</v>
      </c>
      <c r="B16" s="1" t="str">
        <v>网络关系梳理</v>
      </c>
      <c r="C16" s="5" t="str">
        <v>根据天翼云迁移后机器网络，进行网络关系梳理</v>
      </c>
      <c r="D16" s="5" t="str">
        <v>1、梳理双中心网络关系</v>
      </c>
      <c r="E16" s="2">
        <f>F15</f>
      </c>
      <c r="F16" s="10">
        <f>WORKDAY.INTL(E16,G16)</f>
      </c>
      <c r="G16" s="3">
        <v>5</v>
      </c>
      <c r="H16" s="3" t="str">
        <v>待协调运维1</v>
      </c>
      <c r="I16" s="3" t="str">
        <v>讯飞</v>
      </c>
      <c r="J16" s="3" t="str">
        <v>未开始</v>
      </c>
    </row>
    <row customHeight="true" ht="34" r="17">
      <c r="A17" s="1" t="str">
        <v>讯飞方案设计</v>
      </c>
      <c r="B17" s="1" t="str">
        <v>计划输出</v>
      </c>
      <c r="C17" s="5" t="str">
        <v>产品改造详细计划输出</v>
      </c>
      <c r="D17" s="5" t="str">
        <v>1、涉及产品改造方案输出</v>
      </c>
      <c r="E17" s="2">
        <f>E9</f>
      </c>
      <c r="F17" s="2">
        <f>WORKDAY.INTL(E17,G17)</f>
      </c>
      <c r="G17" s="3">
        <v>10</v>
      </c>
      <c r="H17" s="3" t="str">
        <v>待协调1</v>
      </c>
      <c r="I17" s="3" t="str">
        <v>讯飞</v>
      </c>
      <c r="J17" s="3" t="str">
        <v>未开始</v>
      </c>
    </row>
    <row customHeight="true" ht="34" r="18">
      <c r="A18" s="1" t="str">
        <v>讯飞方案设计</v>
      </c>
      <c r="B18" s="1" t="str">
        <v>计划输出</v>
      </c>
      <c r="C18" s="5" t="str">
        <v>产品改造详细计划输出</v>
      </c>
      <c r="D18" s="5" t="str">
        <v>2、涉及产品改造方案方案评审</v>
      </c>
      <c r="E18" s="2">
        <f>F17</f>
      </c>
      <c r="F18" s="2">
        <f>WORKDAY.INTL(E18,G18)</f>
      </c>
      <c r="G18" s="3">
        <v>10</v>
      </c>
      <c r="H18" s="3" t="str">
        <v>待协调1</v>
      </c>
      <c r="I18" s="3" t="str">
        <v>讯飞</v>
      </c>
      <c r="J18" s="3" t="str">
        <v>未开始</v>
      </c>
    </row>
    <row customHeight="true" ht="34" r="19">
      <c r="A19" s="1" t="str">
        <v>讯飞方案设计</v>
      </c>
      <c r="B19" s="1" t="str">
        <v>方案验证</v>
      </c>
      <c r="C19" s="5" t="str">
        <v>产品方案验证</v>
      </c>
      <c r="D19" s="5" t="str">
        <v>3、方案验证</v>
      </c>
      <c r="E19" s="2">
        <f>F18</f>
      </c>
      <c r="F19" s="10">
        <f>WORKDAY.INTL(E19,G19)</f>
      </c>
      <c r="G19" s="3">
        <v>10</v>
      </c>
      <c r="H19" s="3" t="str">
        <v>待协调1</v>
      </c>
      <c r="I19" s="3" t="str">
        <v>讯飞</v>
      </c>
      <c r="J19" s="3" t="str">
        <v>未开始</v>
      </c>
    </row>
    <row customHeight="true" ht="34" r="20">
      <c r="A20" s="1" t="str">
        <v>讯飞方案设计</v>
      </c>
      <c r="B20" s="1" t="str">
        <v>方案验证</v>
      </c>
      <c r="C20" s="5" t="str">
        <v>产品方案调整</v>
      </c>
      <c r="D20" s="5" t="str">
        <v>4、方案调整</v>
      </c>
      <c r="E20" s="2">
        <f>F19</f>
      </c>
      <c r="F20" s="10">
        <f>WORKDAY.INTL(E20,G20)</f>
      </c>
      <c r="G20" s="3">
        <v>10</v>
      </c>
      <c r="H20" s="3" t="str">
        <v>待协调1</v>
      </c>
      <c r="I20" s="3" t="str">
        <v>讯飞</v>
      </c>
      <c r="J20" s="3" t="str">
        <v>未开始</v>
      </c>
    </row>
    <row customHeight="true" ht="34" r="21">
      <c r="A21" s="1" t="str">
        <v>讯飞方案设计</v>
      </c>
      <c r="B21" s="1" t="str">
        <v>计划输出</v>
      </c>
      <c r="C21" s="5" t="str">
        <v>中间件详细计划输出</v>
      </c>
      <c r="D21" s="5" t="str">
        <v>1、涉及中间件改造方案输出
</v>
      </c>
      <c r="E21" s="2">
        <f>E9</f>
      </c>
      <c r="F21" s="2">
        <f>WORKDAY.INTL(E21,G21)</f>
      </c>
      <c r="G21" s="3">
        <v>10</v>
      </c>
      <c r="H21" s="3" t="str">
        <v>待协调2</v>
      </c>
      <c r="I21" s="3" t="str">
        <v>讯飞</v>
      </c>
      <c r="J21" s="3" t="str">
        <v>未开始</v>
      </c>
    </row>
    <row customHeight="true" ht="34" r="22">
      <c r="A22" s="1" t="str">
        <v>讯飞方案设计</v>
      </c>
      <c r="B22" s="1" t="str">
        <v>计划输出</v>
      </c>
      <c r="C22" s="5" t="str">
        <v>中间件详细计划输出</v>
      </c>
      <c r="D22" s="5" t="str">
        <v>2、方案评审</v>
      </c>
      <c r="E22" s="2">
        <f>F21</f>
      </c>
      <c r="F22" s="2">
        <f>WORKDAY.INTL(E22,G22)</f>
      </c>
      <c r="G22" s="3">
        <v>10</v>
      </c>
      <c r="H22" s="3" t="str">
        <v>待协调2</v>
      </c>
      <c r="I22" s="3" t="str">
        <v>讯飞</v>
      </c>
      <c r="J22" s="3" t="str">
        <v>未开始</v>
      </c>
    </row>
    <row customHeight="true" ht="34" r="23">
      <c r="A23" s="1" t="str">
        <v>讯飞方案设计</v>
      </c>
      <c r="B23" s="1" t="str">
        <v>方案验证</v>
      </c>
      <c r="C23" s="5" t="str">
        <v>中间件方案验证</v>
      </c>
      <c r="D23" s="5" t="str">
        <v>3、方案验证</v>
      </c>
      <c r="E23" s="2">
        <f>F22</f>
      </c>
      <c r="F23" s="10">
        <f>WORKDAY.INTL(E23,G23)</f>
      </c>
      <c r="G23" s="3">
        <v>10</v>
      </c>
      <c r="H23" s="3" t="str">
        <v>待协调2</v>
      </c>
      <c r="I23" s="3" t="str">
        <v>讯飞</v>
      </c>
      <c r="J23" s="3" t="str">
        <v>未开始</v>
      </c>
    </row>
    <row customHeight="true" ht="34" r="24">
      <c r="A24" s="1" t="str">
        <v>讯飞方案设计</v>
      </c>
      <c r="B24" s="1" t="str">
        <v>方案验证</v>
      </c>
      <c r="C24" s="5" t="str">
        <v>中间件方案调整</v>
      </c>
      <c r="D24" s="5" t="str">
        <v>4、方案调整</v>
      </c>
      <c r="E24" s="2">
        <f>F23</f>
      </c>
      <c r="F24" s="10">
        <f>WORKDAY.INTL(E24,G24)</f>
      </c>
      <c r="G24" s="3">
        <v>10</v>
      </c>
      <c r="H24" s="3" t="str">
        <v>待协调2</v>
      </c>
      <c r="I24" s="3" t="str">
        <v>讯飞</v>
      </c>
      <c r="J24" s="3" t="str">
        <v>未开始</v>
      </c>
    </row>
    <row customHeight="true" ht="19" r="25">
      <c r="A25" s="1" t="str">
        <v>讯飞服务改造</v>
      </c>
      <c r="B25" s="1" t="str">
        <v>语音系统改造</v>
      </c>
      <c r="C25" s="5" t="str">
        <v>AICC座席工作台</v>
      </c>
      <c r="D25" s="5" t="str">
        <v>1、应用改造</v>
      </c>
      <c r="E25" s="2">
        <f>F21</f>
      </c>
      <c r="F25" s="2">
        <f>WORKDAY.INTL(E25,G25)</f>
      </c>
      <c r="G25" s="3">
        <v>10</v>
      </c>
      <c r="H25" s="3" t="str">
        <v>待协调1</v>
      </c>
      <c r="I25" s="3" t="str">
        <v>讯飞</v>
      </c>
      <c r="J25" s="3" t="str">
        <v>未开始</v>
      </c>
    </row>
    <row customHeight="true" ht="19" r="26">
      <c r="A26" s="1" t="str">
        <v>讯飞服务改造</v>
      </c>
      <c r="B26" s="1" t="str">
        <v>语音系统改造</v>
      </c>
      <c r="C26" s="5" t="str">
        <v>AICC座席工作台</v>
      </c>
      <c r="D26" s="5" t="str">
        <v>2、应用功能测试</v>
      </c>
      <c r="E26" s="2">
        <f>F25</f>
      </c>
      <c r="F26" s="2">
        <f>WORKDAY.INTL(E26,G26)</f>
      </c>
      <c r="G26" s="3">
        <v>10</v>
      </c>
      <c r="H26" s="3" t="str">
        <v>待协调1</v>
      </c>
      <c r="I26" s="3" t="str">
        <v>讯飞</v>
      </c>
      <c r="J26" s="3" t="str">
        <v>未开始</v>
      </c>
    </row>
    <row customHeight="true" ht="19" r="27">
      <c r="A27" s="1" t="str">
        <v>讯飞服务改造</v>
      </c>
      <c r="B27" s="1" t="str">
        <v>语音系统改造</v>
      </c>
      <c r="C27" s="5" t="str">
        <v>AICC座席工作台</v>
      </c>
      <c r="D27" s="5" t="str">
        <v>3、应用性能测试</v>
      </c>
      <c r="E27" s="2">
        <f>F26</f>
      </c>
      <c r="F27" s="2">
        <f>WORKDAY.INTL(E27,G27)</f>
      </c>
      <c r="G27" s="3">
        <v>10</v>
      </c>
      <c r="H27" s="3" t="str">
        <v>待协调1</v>
      </c>
      <c r="I27" s="3" t="str">
        <v>讯飞</v>
      </c>
      <c r="J27" s="3" t="str">
        <v>未开始</v>
      </c>
    </row>
    <row customHeight="true" ht="19" r="28">
      <c r="A28" s="1" t="str">
        <v>讯飞服务改造</v>
      </c>
      <c r="B28" s="1" t="str">
        <v>语音系统改造</v>
      </c>
      <c r="C28" s="5" t="str">
        <v>软交换平台</v>
      </c>
      <c r="D28" s="5" t="str">
        <v>1、应用改造</v>
      </c>
      <c r="E28" s="2">
        <f>F21</f>
      </c>
      <c r="F28" s="2">
        <f>WORKDAY.INTL(E28,G28)</f>
      </c>
      <c r="G28" s="3">
        <v>10</v>
      </c>
      <c r="H28" s="3" t="str">
        <v>待协调2</v>
      </c>
      <c r="I28" s="3" t="str">
        <v>讯飞</v>
      </c>
      <c r="J28" s="3" t="str">
        <v>未开始</v>
      </c>
    </row>
    <row customHeight="true" ht="19" r="29">
      <c r="A29" s="1" t="str">
        <v>讯飞服务改造</v>
      </c>
      <c r="B29" s="1" t="str">
        <v>语音系统改造</v>
      </c>
      <c r="C29" s="5" t="str">
        <v>软交换平台</v>
      </c>
      <c r="D29" s="5" t="str">
        <v>2、应用功能测试</v>
      </c>
      <c r="E29" s="2">
        <f>F28</f>
      </c>
      <c r="F29" s="2">
        <f>WORKDAY.INTL(E29,G29)</f>
      </c>
      <c r="G29" s="3">
        <v>10</v>
      </c>
      <c r="H29" s="3" t="str">
        <v>待协调2</v>
      </c>
      <c r="I29" s="3" t="str">
        <v>讯飞</v>
      </c>
      <c r="J29" s="3" t="str">
        <v>未开始</v>
      </c>
    </row>
    <row customHeight="true" ht="19" r="30">
      <c r="A30" s="1" t="str">
        <v>讯飞服务改造</v>
      </c>
      <c r="B30" s="1" t="str">
        <v>语音系统改造</v>
      </c>
      <c r="C30" s="5" t="str">
        <v>软交换平台</v>
      </c>
      <c r="D30" s="5" t="str">
        <v>3、应用性能测试</v>
      </c>
      <c r="E30" s="2">
        <f>F29</f>
      </c>
      <c r="F30" s="2">
        <f>WORKDAY.INTL(E30,G30)</f>
      </c>
      <c r="G30" s="3">
        <v>10</v>
      </c>
      <c r="H30" s="3" t="str">
        <v>待协调2</v>
      </c>
      <c r="I30" s="3" t="str">
        <v>讯飞</v>
      </c>
      <c r="J30" s="3" t="str">
        <v>未开始</v>
      </c>
    </row>
    <row customHeight="true" ht="19" r="31">
      <c r="A31" s="1" t="str">
        <v>讯飞服务改造</v>
      </c>
      <c r="B31" s="1" t="str">
        <v>在线系统改造</v>
      </c>
      <c r="C31" s="5" t="str">
        <v>IM文字客服</v>
      </c>
      <c r="D31" s="5" t="str">
        <v>1、应用改造</v>
      </c>
      <c r="E31" s="2">
        <f>F21</f>
      </c>
      <c r="F31" s="2">
        <f>WORKDAY.INTL(E31,G31)</f>
      </c>
      <c r="G31" s="3">
        <v>10</v>
      </c>
      <c r="H31" s="3" t="str">
        <v>待协调3</v>
      </c>
      <c r="I31" s="3" t="str">
        <v>讯飞</v>
      </c>
      <c r="J31" s="3" t="str">
        <v>未开始</v>
      </c>
      <c r="K31" s="9"/>
      <c r="L31" s="9"/>
    </row>
    <row customHeight="true" ht="19" r="32">
      <c r="A32" s="1" t="str">
        <v>讯飞服务改造</v>
      </c>
      <c r="B32" s="1" t="str">
        <v>在线系统改造</v>
      </c>
      <c r="C32" s="5" t="str">
        <v>IM文字客服</v>
      </c>
      <c r="D32" s="5" t="str">
        <v>2、应用功能测试</v>
      </c>
      <c r="E32" s="2">
        <f>F31</f>
      </c>
      <c r="F32" s="2">
        <f>WORKDAY.INTL(E32,G32)</f>
      </c>
      <c r="G32" s="3">
        <v>10</v>
      </c>
      <c r="H32" s="3" t="str">
        <v>待协调3</v>
      </c>
      <c r="I32" s="3" t="str">
        <v>讯飞</v>
      </c>
      <c r="J32" s="3" t="str">
        <v>未开始</v>
      </c>
      <c r="K32" s="9"/>
      <c r="L32" s="9"/>
    </row>
    <row customHeight="true" ht="19" r="33">
      <c r="A33" s="1" t="str">
        <v>讯飞服务改造</v>
      </c>
      <c r="B33" s="1" t="str">
        <v>在线系统改造</v>
      </c>
      <c r="C33" s="5" t="str">
        <v>IM文字客服</v>
      </c>
      <c r="D33" s="5" t="str">
        <v>3、应用性能测试</v>
      </c>
      <c r="E33" s="2">
        <f>F32</f>
      </c>
      <c r="F33" s="2">
        <f>WORKDAY.INTL(E33,G33)</f>
      </c>
      <c r="G33" s="3">
        <v>10</v>
      </c>
      <c r="H33" s="3" t="str">
        <v>待协调3</v>
      </c>
      <c r="I33" s="3" t="str">
        <v>讯飞</v>
      </c>
      <c r="J33" s="3" t="str">
        <v>未开始</v>
      </c>
      <c r="K33" s="9"/>
      <c r="L33" s="9"/>
    </row>
    <row customHeight="true" hidden="true" ht="19" r="34">
      <c r="A34" s="35" t="str">
        <v>讯飞服务改造</v>
      </c>
      <c r="B34" s="35" t="str">
        <v>智能化服务改造</v>
      </c>
      <c r="C34" s="36" t="str">
        <v>融智知识库</v>
      </c>
      <c r="D34" s="36" t="str">
        <v>1、应用改造</v>
      </c>
      <c r="E34" s="37"/>
      <c r="F34" s="37"/>
      <c r="G34" s="38"/>
      <c r="H34" s="38" t="str">
        <v>待协调4</v>
      </c>
      <c r="I34" s="38" t="str">
        <v>讯飞</v>
      </c>
      <c r="J34" s="38" t="str">
        <v>未开始</v>
      </c>
      <c r="K34" s="34" t="str">
        <v>优先级降低</v>
      </c>
      <c r="L34" s="34"/>
    </row>
    <row customHeight="true" hidden="true" ht="19" r="35">
      <c r="A35" s="35" t="str">
        <v>讯飞服务改造</v>
      </c>
      <c r="B35" s="35" t="str">
        <v>智能化服务改造</v>
      </c>
      <c r="C35" s="36" t="str">
        <v>融智知识库</v>
      </c>
      <c r="D35" s="36" t="str">
        <v>2、应用功能测试</v>
      </c>
      <c r="E35" s="37"/>
      <c r="F35" s="37"/>
      <c r="G35" s="38"/>
      <c r="H35" s="38" t="str">
        <v>待协调4</v>
      </c>
      <c r="I35" s="38" t="str">
        <v>讯飞</v>
      </c>
      <c r="J35" s="38" t="str">
        <v>未开始</v>
      </c>
      <c r="K35" s="34" t="str">
        <v>优先级降低</v>
      </c>
      <c r="L35" s="34"/>
    </row>
    <row customHeight="true" hidden="true" ht="19" r="36">
      <c r="A36" s="35" t="str">
        <v>讯飞服务改造</v>
      </c>
      <c r="B36" s="35" t="str">
        <v>智能化服务改造</v>
      </c>
      <c r="C36" s="36" t="str">
        <v>融智知识库</v>
      </c>
      <c r="D36" s="36" t="str">
        <v>3、应用性能测试</v>
      </c>
      <c r="E36" s="37"/>
      <c r="F36" s="37"/>
      <c r="G36" s="38"/>
      <c r="H36" s="38" t="str">
        <v>待协调4</v>
      </c>
      <c r="I36" s="38" t="str">
        <v>讯飞</v>
      </c>
      <c r="J36" s="38" t="str">
        <v>未开始</v>
      </c>
      <c r="K36" s="34" t="str">
        <v>优先级降低</v>
      </c>
      <c r="L36" s="34"/>
    </row>
    <row customHeight="true" hidden="true" ht="19" r="37">
      <c r="A37" s="35" t="str">
        <v>讯飞服务改造</v>
      </c>
      <c r="B37" s="35" t="str">
        <v>智能化服务改造</v>
      </c>
      <c r="C37" s="36" t="str">
        <v>AI+管理平台</v>
      </c>
      <c r="D37" s="36"/>
      <c r="E37" s="37"/>
      <c r="F37" s="37"/>
      <c r="G37" s="38"/>
      <c r="H37" s="38" t="str">
        <v>待协调5</v>
      </c>
      <c r="I37" s="38" t="str">
        <v>讯飞</v>
      </c>
      <c r="J37" s="38" t="str">
        <v>未开始</v>
      </c>
      <c r="K37" s="34" t="str">
        <v>优先级降低</v>
      </c>
      <c r="L37" s="34"/>
    </row>
    <row customHeight="true" hidden="true" ht="19" r="38">
      <c r="A38" s="35" t="str">
        <v>讯飞服务改造</v>
      </c>
      <c r="B38" s="35" t="str">
        <v>智能化服务改造</v>
      </c>
      <c r="C38" s="36" t="str">
        <v>智能外呼</v>
      </c>
      <c r="D38" s="36"/>
      <c r="E38" s="37"/>
      <c r="F38" s="37"/>
      <c r="G38" s="38"/>
      <c r="H38" s="38" t="str">
        <v>待协调5</v>
      </c>
      <c r="I38" s="38" t="str">
        <v>讯飞</v>
      </c>
      <c r="J38" s="38" t="str">
        <v>未开始</v>
      </c>
      <c r="K38" s="34" t="str">
        <v>优先级降低</v>
      </c>
      <c r="L38" s="34"/>
    </row>
    <row customHeight="true" hidden="true" ht="19" r="39">
      <c r="A39" s="35" t="str">
        <v>讯飞服务改造</v>
      </c>
      <c r="B39" s="35" t="str">
        <v>智能化服务改造</v>
      </c>
      <c r="C39" s="36" t="str">
        <v>智能质检</v>
      </c>
      <c r="D39" s="36"/>
      <c r="E39" s="37"/>
      <c r="F39" s="37"/>
      <c r="G39" s="38"/>
      <c r="H39" s="38" t="str">
        <v>待协调5</v>
      </c>
      <c r="I39" s="38" t="str">
        <v>讯飞</v>
      </c>
      <c r="J39" s="38" t="str">
        <v>未开始</v>
      </c>
      <c r="K39" s="34" t="str">
        <v>优先级降低</v>
      </c>
      <c r="L39" s="34"/>
    </row>
    <row customHeight="true" hidden="true" ht="19" r="40">
      <c r="A40" s="35" t="str">
        <v>讯飞服务改造</v>
      </c>
      <c r="B40" s="35" t="str">
        <v>智能化服务改造</v>
      </c>
      <c r="C40" s="36" t="str">
        <v>智能助手</v>
      </c>
      <c r="D40" s="36"/>
      <c r="E40" s="37"/>
      <c r="F40" s="37"/>
      <c r="G40" s="38"/>
      <c r="H40" s="38" t="str">
        <v>待协调5</v>
      </c>
      <c r="I40" s="38" t="str">
        <v>讯飞</v>
      </c>
      <c r="J40" s="38" t="str">
        <v>未开始</v>
      </c>
      <c r="K40" s="34" t="str">
        <v>优先级降低</v>
      </c>
      <c r="L40" s="34"/>
    </row>
    <row customHeight="true" hidden="true" ht="19" r="41">
      <c r="A41" s="35" t="str">
        <v>讯飞服务改造</v>
      </c>
      <c r="B41" s="35" t="str">
        <v>周边服务改造</v>
      </c>
      <c r="C41" s="36" t="str">
        <v>人工质检</v>
      </c>
      <c r="D41" s="36"/>
      <c r="E41" s="37"/>
      <c r="F41" s="37"/>
      <c r="G41" s="38"/>
      <c r="H41" s="38" t="str">
        <v>待协调5</v>
      </c>
      <c r="I41" s="38" t="str">
        <v>讯飞</v>
      </c>
      <c r="J41" s="38" t="str">
        <v>未开始</v>
      </c>
      <c r="K41" s="34" t="str">
        <v>优先级降低</v>
      </c>
      <c r="L41" s="34"/>
    </row>
    <row customHeight="true" hidden="true" ht="19" r="42">
      <c r="A42" s="35" t="str">
        <v>讯飞服务改造</v>
      </c>
      <c r="B42" s="35" t="str">
        <v>周边服务改造</v>
      </c>
      <c r="C42" s="36" t="str">
        <v>监控平台</v>
      </c>
      <c r="D42" s="36"/>
      <c r="E42" s="37"/>
      <c r="F42" s="37"/>
      <c r="G42" s="38"/>
      <c r="H42" s="38" t="str">
        <v>待协调5</v>
      </c>
      <c r="I42" s="38" t="str">
        <v>讯飞</v>
      </c>
      <c r="J42" s="38" t="str">
        <v>未开始</v>
      </c>
      <c r="K42" s="34" t="str">
        <v>优先级降低</v>
      </c>
      <c r="L42" s="34"/>
    </row>
    <row customHeight="true" hidden="true" ht="19" r="43">
      <c r="A43" s="35" t="str">
        <v>讯飞服务改造</v>
      </c>
      <c r="B43" s="35" t="str">
        <v>数据服务改造</v>
      </c>
      <c r="C43" s="36" t="str">
        <v>数据运营/能力平台</v>
      </c>
      <c r="D43" s="36"/>
      <c r="E43" s="37"/>
      <c r="F43" s="37"/>
      <c r="G43" s="38"/>
      <c r="H43" s="38" t="str">
        <v>待协调5</v>
      </c>
      <c r="I43" s="38" t="str">
        <v>讯飞</v>
      </c>
      <c r="J43" s="38" t="str">
        <v>未开始</v>
      </c>
      <c r="K43" s="34" t="str">
        <v>优先级降低</v>
      </c>
      <c r="L43" s="34"/>
    </row>
    <row customHeight="true" hidden="true" ht="19" r="44">
      <c r="A44" s="1" t="str">
        <v>讯飞服务改造</v>
      </c>
      <c r="B44" s="1" t="str">
        <v>周边服务改造</v>
      </c>
      <c r="C44" s="5" t="str">
        <v>UAP</v>
      </c>
      <c r="D44" s="5" t="str">
        <v>1、应用改造</v>
      </c>
      <c r="E44" s="2">
        <f>F21</f>
      </c>
      <c r="F44" s="2">
        <f>WORKDAY.INTL(E44,G44)</f>
      </c>
      <c r="G44" s="3">
        <v>10</v>
      </c>
      <c r="H44" s="3" t="str">
        <v>待协调4</v>
      </c>
      <c r="I44" s="3" t="str">
        <v>讯飞</v>
      </c>
      <c r="J44" s="3" t="str">
        <v>未开始</v>
      </c>
    </row>
    <row customHeight="true" ht="19" r="45">
      <c r="A45" s="1" t="str">
        <v>讯飞服务改造</v>
      </c>
      <c r="B45" s="1" t="str">
        <v>周边服务改造</v>
      </c>
      <c r="C45" s="5" t="str">
        <v>UAP</v>
      </c>
      <c r="D45" s="5" t="str">
        <v>2、应用功能测试</v>
      </c>
      <c r="E45" s="2">
        <f>F44</f>
      </c>
      <c r="F45" s="2">
        <f>WORKDAY.INTL(E45,G45)</f>
      </c>
      <c r="G45" s="3">
        <v>10</v>
      </c>
      <c r="H45" s="3" t="str">
        <v>待协调4</v>
      </c>
      <c r="I45" s="3" t="str">
        <v>讯飞</v>
      </c>
      <c r="J45" s="3" t="str">
        <v>未开始</v>
      </c>
    </row>
    <row customHeight="true" ht="19" r="46">
      <c r="A46" s="1" t="str">
        <v>讯飞服务改造</v>
      </c>
      <c r="B46" s="1" t="str">
        <v>周边服务改造</v>
      </c>
      <c r="C46" s="5" t="str">
        <v>UAP</v>
      </c>
      <c r="D46" s="5" t="str">
        <v>3、应用性能测试</v>
      </c>
      <c r="E46" s="2">
        <f>F45</f>
      </c>
      <c r="F46" s="2">
        <f>WORKDAY.INTL(E46,G46)</f>
      </c>
      <c r="G46" s="3">
        <v>10</v>
      </c>
      <c r="H46" s="3" t="str">
        <v>待协调4</v>
      </c>
      <c r="I46" s="3" t="str">
        <v>讯飞</v>
      </c>
      <c r="J46" s="3" t="str">
        <v>未开始</v>
      </c>
    </row>
    <row customHeight="true" ht="19" r="47">
      <c r="A47" s="1" t="str">
        <v>讯飞服务改造</v>
      </c>
      <c r="B47" s="1" t="str">
        <v>存储系统改造</v>
      </c>
      <c r="C47" s="5" t="str">
        <v>Storage\S3协议对接等</v>
      </c>
      <c r="D47" s="5" t="str">
        <v>1、应用改造</v>
      </c>
      <c r="E47" s="2">
        <f>F21</f>
      </c>
      <c r="F47" s="2">
        <f>WORKDAY.INTL(E47,G47)</f>
      </c>
      <c r="G47" s="3">
        <v>10</v>
      </c>
      <c r="H47" s="3" t="str">
        <v>待协调4</v>
      </c>
      <c r="I47" s="3" t="str">
        <v>讯飞</v>
      </c>
      <c r="J47" s="3" t="str">
        <v>未开始</v>
      </c>
    </row>
    <row customHeight="true" ht="19" r="48">
      <c r="A48" s="1" t="str">
        <v>讯飞服务改造</v>
      </c>
      <c r="B48" s="1" t="str">
        <v>存储系统改造</v>
      </c>
      <c r="C48" s="5" t="str">
        <v>Storage\S3协议对接等</v>
      </c>
      <c r="D48" s="5" t="str">
        <v>2、应用功能测试</v>
      </c>
      <c r="E48" s="2">
        <f>F47</f>
      </c>
      <c r="F48" s="2">
        <f>WORKDAY.INTL(E48,G48)</f>
      </c>
      <c r="G48" s="3">
        <v>10</v>
      </c>
      <c r="H48" s="3" t="str">
        <v>待协调4</v>
      </c>
      <c r="I48" s="3" t="str">
        <v>讯飞</v>
      </c>
      <c r="J48" s="3" t="str">
        <v>未开始</v>
      </c>
    </row>
    <row customHeight="true" ht="19" r="49">
      <c r="A49" s="1" t="str">
        <v>讯飞服务改造</v>
      </c>
      <c r="B49" s="1" t="str">
        <v>存储系统改造</v>
      </c>
      <c r="C49" s="5" t="str">
        <v>Storage\S3协议对接等</v>
      </c>
      <c r="D49" s="5" t="str">
        <v>3、应用性能测试</v>
      </c>
      <c r="E49" s="2">
        <f>F48</f>
      </c>
      <c r="F49" s="2">
        <f>WORKDAY.INTL(E49,G49)</f>
      </c>
      <c r="G49" s="3">
        <v>10</v>
      </c>
      <c r="H49" s="3" t="str">
        <v>待协调4</v>
      </c>
      <c r="I49" s="3" t="str">
        <v>讯飞</v>
      </c>
      <c r="J49" s="3" t="str">
        <v>未开始</v>
      </c>
    </row>
    <row r="50">
      <c r="A50" s="1" t="str">
        <v>讯飞服务改造</v>
      </c>
      <c r="B50" s="1" t="str">
        <v>中间件同步工具研发</v>
      </c>
      <c r="C50" s="5" t="str">
        <v>天翼云无法上云中间件改造</v>
      </c>
      <c r="D50" s="5" t="str">
        <v>1、中间件双中心方案计划输出</v>
      </c>
      <c r="E50" s="2">
        <f>F21</f>
      </c>
      <c r="F50" s="2">
        <f>WORKDAY.INTL(E50,G50)</f>
      </c>
      <c r="G50" s="3">
        <v>10</v>
      </c>
      <c r="H50" s="3" t="str">
        <v>待协调2</v>
      </c>
      <c r="I50" s="3" t="str">
        <v>讯飞</v>
      </c>
      <c r="J50" s="3" t="str">
        <v>未开始</v>
      </c>
    </row>
    <row customHeight="true" ht="19" r="51">
      <c r="A51" s="1" t="str">
        <v>讯飞服务改造</v>
      </c>
      <c r="B51" s="1" t="str">
        <v>中间件同步工具研发</v>
      </c>
      <c r="C51" s="5" t="str">
        <v>天翼云无法上云中间件改造</v>
      </c>
      <c r="D51" s="5" t="str">
        <v>2、中间件双中心改造</v>
      </c>
      <c r="E51" s="2">
        <f>F50</f>
      </c>
      <c r="F51" s="2">
        <f>WORKDAY.INTL(E51,G51)</f>
      </c>
      <c r="G51" s="3">
        <v>20</v>
      </c>
      <c r="H51" s="3" t="str">
        <v>待协调2</v>
      </c>
      <c r="I51" s="3" t="str">
        <v>讯飞</v>
      </c>
      <c r="J51" s="3" t="str">
        <v>未开始</v>
      </c>
    </row>
    <row customHeight="true" ht="19" r="52">
      <c r="A52" s="1" t="str">
        <v>讯飞服务改造</v>
      </c>
      <c r="B52" s="1" t="str">
        <v>中间件同步工具研发</v>
      </c>
      <c r="C52" s="5" t="str">
        <v>天翼云无法上云中间件改造</v>
      </c>
      <c r="D52" s="5" t="str">
        <v>3、中间件双中心测试</v>
      </c>
      <c r="E52" s="2">
        <f>F51</f>
      </c>
      <c r="F52" s="2">
        <f>WORKDAY.INTL(E52,G52)</f>
      </c>
      <c r="G52" s="3">
        <v>20</v>
      </c>
      <c r="H52" s="3" t="str">
        <v>待协调2</v>
      </c>
      <c r="I52" s="3" t="str">
        <v>讯飞</v>
      </c>
      <c r="J52" s="3" t="str">
        <v>未开始</v>
      </c>
    </row>
    <row customHeight="true" ht="19" r="53">
      <c r="A53" s="1" t="str">
        <v>讯飞服务改造</v>
      </c>
      <c r="B53" s="1" t="str">
        <v>中间件同步工具研发</v>
      </c>
      <c r="C53" s="5" t="str">
        <v>天翼云无法上云中间件改造</v>
      </c>
      <c r="D53" s="5" t="str">
        <v>4、中间件双中心性能</v>
      </c>
      <c r="E53" s="2">
        <f>F52</f>
      </c>
      <c r="F53" s="2">
        <f>WORKDAY.INTL(E53,G53)</f>
      </c>
      <c r="G53" s="3">
        <v>10</v>
      </c>
      <c r="H53" s="3" t="str">
        <v>待协调2</v>
      </c>
      <c r="I53" s="3" t="str">
        <v>讯飞</v>
      </c>
      <c r="J53" s="3" t="str">
        <v>未开始</v>
      </c>
    </row>
    <row customHeight="true" ht="36" r="54">
      <c r="A54" s="1" t="str">
        <v>讯飞服务迁移</v>
      </c>
      <c r="B54" s="1" t="str">
        <v>服务迁移</v>
      </c>
      <c r="C54" s="5" t="str">
        <v>迁移中间件</v>
      </c>
      <c r="D54" s="5"/>
      <c r="E54" s="2">
        <f>F21</f>
      </c>
      <c r="F54" s="2">
        <f>WORKDAY.INTL(E54,G54)</f>
      </c>
      <c r="G54" s="3">
        <v>10</v>
      </c>
      <c r="H54" s="3" t="str">
        <v>待协调运维1</v>
      </c>
      <c r="I54" s="3" t="str">
        <v>讯飞</v>
      </c>
      <c r="J54" s="3" t="str">
        <v>未开始</v>
      </c>
    </row>
    <row customHeight="true" ht="36" r="55">
      <c r="A55" s="1" t="str">
        <v>讯飞服务迁移</v>
      </c>
      <c r="B55" s="1" t="str">
        <v>服务迁移</v>
      </c>
      <c r="C55" s="5" t="str">
        <v>迁移应用服务</v>
      </c>
      <c r="D55" s="5"/>
      <c r="E55" s="2">
        <f>F54</f>
      </c>
      <c r="F55" s="2">
        <f>WORKDAY.INTL(E55,G55)</f>
      </c>
      <c r="G55" s="3">
        <v>10</v>
      </c>
      <c r="H55" s="3"/>
      <c r="I55" s="3"/>
      <c r="J55" s="3" t="str">
        <v>未开始</v>
      </c>
    </row>
    <row customHeight="true" ht="36" r="56">
      <c r="A56" s="3" t="str">
        <v>讯飞服务部署</v>
      </c>
      <c r="B56" s="1" t="str">
        <v>双中心部署</v>
      </c>
      <c r="C56" s="5" t="str">
        <v>调整应用服务部署</v>
      </c>
      <c r="D56" s="5"/>
      <c r="E56" s="2">
        <f>F55</f>
      </c>
      <c r="F56" s="10">
        <f>WORKDAY.INTL(E56,G56)</f>
      </c>
      <c r="G56" s="3">
        <v>10</v>
      </c>
      <c r="H56" s="3"/>
      <c r="I56" s="3"/>
      <c r="J56" s="3" t="str">
        <v>未开始</v>
      </c>
    </row>
    <row customHeight="true" ht="36" r="57">
      <c r="A57" s="3" t="str">
        <v>讯飞服务部署</v>
      </c>
      <c r="B57" s="3" t="str">
        <v>双中心部署</v>
      </c>
      <c r="C57" t="str">
        <v>调整中间件部署</v>
      </c>
      <c r="E57" s="2">
        <f>F56</f>
      </c>
      <c r="F57" s="10">
        <f>WORKDAY.INTL(E57,G57)</f>
      </c>
      <c r="G57" s="3">
        <v>10</v>
      </c>
      <c r="H57" s="3"/>
      <c r="I57" s="3"/>
      <c r="J57" s="3" t="str">
        <v>未开始</v>
      </c>
    </row>
    <row customHeight="true" ht="36" r="58">
      <c r="A58" s="3" t="str">
        <v>讯飞服务验证</v>
      </c>
      <c r="B58" s="3" t="str">
        <v>讯飞内部双中心双活验证</v>
      </c>
      <c r="C58" t="str">
        <v>验证双中心功能</v>
      </c>
      <c r="D58" t="str">
        <v>双中心双活端到端功能验证，确保端到端各产品功能正常</v>
      </c>
      <c r="E58" s="2">
        <f>F57</f>
      </c>
      <c r="F58" s="10">
        <f>WORKDAY.INTL(E58,G58)</f>
      </c>
      <c r="G58" s="3">
        <v>10</v>
      </c>
      <c r="H58" s="3"/>
      <c r="I58" s="3"/>
      <c r="J58" s="3" t="str">
        <v>未开始</v>
      </c>
    </row>
    <row customHeight="true" ht="36" r="59">
      <c r="A59" s="3"/>
      <c r="B59" s="3"/>
      <c r="C59" t="str">
        <v>验证双中心数据</v>
      </c>
      <c r="D59" t="str">
        <v>观察双中心数据写入和同步是否正常</v>
      </c>
      <c r="E59" s="2"/>
      <c r="F59" s="10"/>
      <c r="G59" s="3"/>
      <c r="H59" s="3"/>
      <c r="I59" s="3"/>
      <c r="J59" s="3"/>
    </row>
    <row customHeight="true" ht="36" r="60">
      <c r="A60" s="3"/>
      <c r="B60" s="3"/>
      <c r="C60" t="str">
        <v>压测双中心性能</v>
      </c>
      <c r="D60" t="str">
        <v>压测双中心端到端性能</v>
      </c>
      <c r="E60" s="2"/>
      <c r="F60" s="10"/>
      <c r="G60" s="3"/>
      <c r="H60" s="3"/>
      <c r="I60" s="3"/>
      <c r="J60" s="3"/>
    </row>
    <row r="61">
      <c r="A61" s="3" t="str">
        <v>试运行</v>
      </c>
      <c r="B61" s="3" t="str">
        <v>双中心双活演练</v>
      </c>
      <c r="C61" t="str">
        <v>双中心切换演练</v>
      </c>
      <c r="D61" t="str">
        <v>模拟灾备场景，随机停掉一个中心，观察另一个中心是否运运行正常</v>
      </c>
      <c r="E61" s="2">
        <f>F58</f>
      </c>
      <c r="F61" s="2">
        <f>WORKDAY.INTL(E61,G61)</f>
      </c>
      <c r="G61" s="3">
        <v>10</v>
      </c>
      <c r="H61" s="3"/>
      <c r="I61" s="3"/>
      <c r="J61" s="3" t="str">
        <v>未开始</v>
      </c>
      <c r="K61" s="9" t="str">
        <v>可调整删减</v>
      </c>
      <c r="L61" s="9"/>
    </row>
    <row r="62">
      <c r="A62" s="3"/>
      <c r="B62" s="3"/>
      <c r="D62" t="str">
        <v>测试已停掉的中心是否可以正常恢复</v>
      </c>
      <c r="E62" s="2"/>
      <c r="F62" s="2"/>
      <c r="G62" s="3"/>
      <c r="H62" s="3"/>
      <c r="I62" s="3"/>
      <c r="J62" s="3"/>
      <c r="K62" s="9"/>
      <c r="L62" s="9"/>
    </row>
    <row r="63">
      <c r="A63" s="3"/>
      <c r="B63" s="3"/>
      <c r="D63" s="9" t="str">
        <v>模拟灾备场景，随机停掉一个中心的部分应用或中间件，
观察另一个中心的应用或中间件运行是否正常</v>
      </c>
      <c r="E63" s="2"/>
      <c r="F63" s="2"/>
      <c r="G63" s="3"/>
      <c r="H63" s="3"/>
      <c r="I63" s="3"/>
      <c r="J63" s="3"/>
      <c r="K63" s="9"/>
      <c r="L63" s="9"/>
    </row>
    <row r="64">
      <c r="A64" s="3"/>
      <c r="B64" s="3"/>
      <c r="D64" t="str">
        <v>测试已停掉的应用或中间件是否可以正常恢复</v>
      </c>
      <c r="E64" s="2"/>
      <c r="F64" s="2"/>
      <c r="G64" s="3"/>
      <c r="H64" s="3"/>
      <c r="I64" s="3"/>
      <c r="J64" s="3"/>
      <c r="K64" s="9"/>
      <c r="L64" s="9"/>
    </row>
    <row customHeight="true" ht="19" r="65">
      <c r="A65" s="3" t="str">
        <v>试运行</v>
      </c>
      <c r="B65" s="3" t="str">
        <v>双中心双活正式运行</v>
      </c>
      <c r="C65" t="str">
        <v>正式运行后运维</v>
      </c>
      <c r="D65" t="str">
        <v>双中心产品运营工作</v>
      </c>
      <c r="E65" s="2">
        <f>F61</f>
      </c>
      <c r="F65" s="2">
        <f>WORKDAY.INTL(E65,G65)</f>
      </c>
      <c r="G65" s="3">
        <v>20</v>
      </c>
      <c r="H65" s="3"/>
      <c r="I65" s="3"/>
      <c r="J65" s="3" t="str">
        <v>未开始</v>
      </c>
      <c r="K65" s="9" t="str">
        <v>可调整删减</v>
      </c>
      <c r="L65" s="9"/>
    </row>
    <row customHeight="true" ht="19" r="66">
      <c r="A66" s="3"/>
      <c r="B66" s="3"/>
      <c r="D66" t="str">
        <v>双中心各组件运行保障</v>
      </c>
      <c r="E66" s="2">
        <f>F65</f>
      </c>
      <c r="F66" s="2">
        <f>WORKDAY.INTL(E66,G66)</f>
      </c>
      <c r="G66" s="3">
        <v>20</v>
      </c>
      <c r="H66" s="3"/>
      <c r="I66" s="3"/>
      <c r="J66" s="3"/>
      <c r="K66" s="9"/>
      <c r="L66" s="9"/>
    </row>
    <row customHeight="true" ht="19" r="67">
      <c r="A67" s="3"/>
      <c r="B67" s="3"/>
      <c r="D67" t="str">
        <v>双中心服务扩容</v>
      </c>
      <c r="E67" s="2"/>
      <c r="F67" s="2"/>
      <c r="G67" s="3"/>
      <c r="H67" s="3"/>
      <c r="I67" s="3"/>
      <c r="J67" s="3"/>
      <c r="K67" s="9"/>
      <c r="L67" s="9"/>
    </row>
    <row r="68">
      <c r="A68" s="1"/>
      <c r="B68" s="1"/>
      <c r="C68" s="5"/>
      <c r="D68" s="5"/>
      <c r="E68" s="2"/>
      <c r="F68" s="2"/>
      <c r="G68" s="3">
        <f>SUM(G7:G67)</f>
      </c>
      <c r="H68" s="3"/>
      <c r="I68" s="3"/>
      <c r="J68" s="3"/>
    </row>
  </sheetData>
  <mergeCells>
    <mergeCell ref="C65:C67"/>
    <mergeCell ref="B65:B67"/>
    <mergeCell ref="A65:A67"/>
    <mergeCell ref="C61:C64"/>
    <mergeCell ref="B61:B64"/>
    <mergeCell ref="A61:A64"/>
    <mergeCell ref="B58:B60"/>
    <mergeCell ref="A58:A60"/>
    <mergeCell ref="E58:E60"/>
    <mergeCell ref="F58:F60"/>
    <mergeCell ref="E61:E64"/>
    <mergeCell ref="F61:F64"/>
    <mergeCell ref="G61:G64"/>
    <mergeCell ref="G58:G60"/>
    <mergeCell ref="E66:E67"/>
    <mergeCell ref="F66:F67"/>
    <mergeCell ref="G66:G67"/>
    <mergeCell ref="J58:J60"/>
    <mergeCell ref="J61:J64"/>
    <mergeCell ref="J65:J67"/>
    <mergeCell ref="H54:H67"/>
    <mergeCell ref="I54:I67"/>
  </mergeCells>
  <dataValidations count="1">
    <dataValidation allowBlank="true" errorStyle="stop" showErrorMessage="true" sqref="J2:J58 J61 J65 J68" type="list">
      <formula1>"已完成,未开始,未通过,进行中"</formula1>
    </dataValidation>
  </dataValidation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3"/>
    <col collapsed="false" customWidth="true" hidden="false" max="3" min="3" style="0" width="34"/>
    <col collapsed="false" customWidth="true" hidden="false" max="4" min="4" style="0" width="37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</cols>
  <sheetData>
    <row customHeight="true" ht="19" r="1">
      <c r="A1" s="12" t="str">
        <v>大类</v>
      </c>
      <c r="B1" s="12" t="str">
        <v>小类</v>
      </c>
      <c r="C1" s="12" t="str">
        <v>功能调整点</v>
      </c>
      <c r="D1" s="12" t="str">
        <v>详细内容</v>
      </c>
      <c r="E1" s="12" t="str">
        <v>完成时间</v>
      </c>
      <c r="F1" s="12" t="str">
        <v>负责方</v>
      </c>
      <c r="G1" s="12" t="str">
        <v>状态</v>
      </c>
    </row>
    <row customHeight="true" ht="34" r="2">
      <c r="A2" s="41" t="str">
        <v>线路</v>
      </c>
      <c r="B2" s="41" t="str">
        <v>线路接入</v>
      </c>
      <c r="C2" s="15" t="str">
        <v>新增线路接入北京机房</v>
      </c>
      <c r="D2" s="15" t="str">
        <v>新申请的电信、联通、移动线路接入融通机房</v>
      </c>
      <c r="E2" s="42" t="str">
        <v>T</v>
      </c>
      <c r="F2" s="42" t="str">
        <v>融通运维</v>
      </c>
      <c r="G2" s="42" t="str">
        <v>🧑🏻‍💻  进行中</v>
      </c>
    </row>
    <row customHeight="true" ht="19" r="3">
      <c r="A3" s="41" t="str">
        <v>测试环境</v>
      </c>
      <c r="B3" s="41" t="str">
        <v>机器人流程配置</v>
      </c>
      <c r="C3" s="5" t="str">
        <v>新增业务测试流程</v>
      </c>
      <c r="D3" s="5" t="str">
        <v>按照平均8个业务流程，1个工作日计算</v>
      </c>
      <c r="E3" s="3" t="str">
        <v>T+1</v>
      </c>
      <c r="F3" s="3" t="str">
        <v>讯飞运营</v>
      </c>
      <c r="G3" s="3" t="str">
        <v>🔜  未开始</v>
      </c>
    </row>
    <row customHeight="true" ht="19" r="4">
      <c r="A4" s="41"/>
      <c r="B4" s="41"/>
      <c r="C4" s="5" t="str">
        <v>新增业务测试流程测试</v>
      </c>
      <c r="D4" s="5" t="str">
        <v>按照平均8个业务流程，1个工作日计算</v>
      </c>
      <c r="E4" s="3" t="str">
        <v>T+1</v>
      </c>
      <c r="F4" s="3" t="str">
        <v>讯飞运营</v>
      </c>
      <c r="G4" s="3" t="str">
        <v>🔜  未开始</v>
      </c>
    </row>
    <row customHeight="true" ht="19" r="5">
      <c r="A5" s="41"/>
      <c r="B5" s="41" t="str">
        <v>业务配置</v>
      </c>
      <c r="C5" s="5" t="str">
        <v>服务号码配置</v>
      </c>
      <c r="D5" s="5" t="str">
        <v>配置新接入95号码的工作时间、提示音等</v>
      </c>
      <c r="E5" s="3" t="str">
        <v>T+2</v>
      </c>
      <c r="F5" s="3" t="str">
        <v>讯飞运营</v>
      </c>
      <c r="G5" s="3" t="str">
        <v>🔜  未开始</v>
      </c>
    </row>
    <row customHeight="true" ht="19" r="6">
      <c r="A6" s="41"/>
      <c r="B6" s="41"/>
      <c r="C6" s="5" t="str">
        <v>技能组配置</v>
      </c>
      <c r="D6" s="5" t="str">
        <v>配置新接入95号码的服务技能组</v>
      </c>
      <c r="E6" s="3" t="str">
        <v>T+2</v>
      </c>
      <c r="F6" s="3" t="str">
        <v>讯飞运营</v>
      </c>
      <c r="G6" s="3" t="str">
        <v>🔜  未开始</v>
      </c>
    </row>
    <row customHeight="true" ht="19" r="7">
      <c r="A7" s="41"/>
      <c r="B7" s="41"/>
      <c r="C7" s="5" t="str">
        <v>座席配置</v>
      </c>
      <c r="D7" s="5" t="str">
        <v>配置新接入95号码的服务座席、座席分配策略</v>
      </c>
      <c r="E7" s="3" t="str">
        <v>T+2</v>
      </c>
      <c r="F7" s="3" t="str">
        <v>讯飞运营</v>
      </c>
      <c r="G7" s="3" t="str">
        <v>🔜  未开始</v>
      </c>
    </row>
    <row customHeight="true" ht="19" r="8">
      <c r="A8" s="41"/>
      <c r="B8" s="41" t="str">
        <v>电话接入测试</v>
      </c>
      <c r="C8" s="5" t="str">
        <v>转人工测试</v>
      </c>
      <c r="D8" s="5" t="str">
        <v>拨打新接入95号码进行业务流程测试</v>
      </c>
      <c r="E8" s="3" t="str">
        <v>T+2</v>
      </c>
      <c r="F8" s="3" t="str">
        <v>讯飞运营</v>
      </c>
      <c r="G8" s="3" t="str">
        <v>🔜  未开始</v>
      </c>
    </row>
    <row customHeight="true" ht="19" r="9">
      <c r="A9" s="41" t="str">
        <v>生产环境</v>
      </c>
      <c r="B9" s="41" t="str">
        <v>线路联调</v>
      </c>
      <c r="C9" s="5" t="str">
        <v>拨号计划调整</v>
      </c>
      <c r="D9" s="5"/>
      <c r="E9" s="3" t="str">
        <v>T+5</v>
      </c>
      <c r="F9" s="3" t="str">
        <v>讯飞运维</v>
      </c>
      <c r="G9" s="3" t="str">
        <v>🔜  未开始</v>
      </c>
    </row>
    <row customHeight="true" ht="19" r="10">
      <c r="A10" s="41"/>
      <c r="B10" s="41"/>
      <c r="C10" s="5" t="str">
        <v>线路规则编写</v>
      </c>
      <c r="D10" s="5"/>
      <c r="E10" s="3" t="str">
        <v>T+5</v>
      </c>
      <c r="F10" s="3" t="str">
        <v>讯飞运维</v>
      </c>
      <c r="G10" s="3" t="str">
        <v>🔜  未开始</v>
      </c>
    </row>
    <row customHeight="true" ht="33" r="11">
      <c r="A11" s="41"/>
      <c r="B11" s="41"/>
      <c r="C11" s="5" t="str">
        <v>线路联通性测试-联通</v>
      </c>
      <c r="D11" s="5" t="str">
        <v>测试讯飞呼叫中心与运营商线路音频流、通话质量</v>
      </c>
      <c r="E11" s="3" t="str">
        <v>T+9</v>
      </c>
      <c r="F11" s="3" t="str">
        <v>讯飞运维</v>
      </c>
      <c r="G11" s="3" t="str">
        <v>🔜  未开始</v>
      </c>
    </row>
    <row customHeight="true" ht="32" r="12">
      <c r="A12" s="41"/>
      <c r="B12" s="41"/>
      <c r="C12" s="5" t="str">
        <v>线路联通性测试-电信</v>
      </c>
      <c r="D12" s="5" t="str">
        <v>测试讯飞呼叫中心与运营商线路音频流、通话质量</v>
      </c>
      <c r="E12" s="3" t="str">
        <v>T+13</v>
      </c>
      <c r="F12" s="3" t="str">
        <v>讯飞运维</v>
      </c>
      <c r="G12" s="3" t="str">
        <v>🔜  未开始</v>
      </c>
    </row>
    <row customHeight="true" ht="32" r="13">
      <c r="A13" s="41"/>
      <c r="B13" s="41"/>
      <c r="C13" s="5" t="str">
        <v>线路联通性测试-移动</v>
      </c>
      <c r="D13" s="5" t="str">
        <v>测试讯飞呼叫中心与运营商线路音频流、通话质量</v>
      </c>
      <c r="E13" s="3" t="str">
        <v>T+17</v>
      </c>
      <c r="F13" s="3" t="str">
        <v>讯飞运维</v>
      </c>
      <c r="G13" s="3" t="str">
        <v>🔜  未开始</v>
      </c>
    </row>
    <row customHeight="true" ht="19" r="14">
      <c r="A14" s="41"/>
      <c r="B14" s="41" t="str">
        <v>机器人流程配置</v>
      </c>
      <c r="C14" s="5" t="str">
        <v>导入业务测试流程</v>
      </c>
      <c r="D14" s="5" t="str">
        <v>导入测试环境流程</v>
      </c>
      <c r="E14" s="3" t="str">
        <v>T+18</v>
      </c>
      <c r="F14" s="3" t="str">
        <v>讯飞运营</v>
      </c>
      <c r="G14" s="3" t="str">
        <v>🔜  未开始</v>
      </c>
    </row>
    <row customHeight="true" ht="19" r="15">
      <c r="A15" s="41"/>
      <c r="B15" s="41"/>
      <c r="C15" s="5" t="str">
        <v>导入业务测试流程测试</v>
      </c>
      <c r="D15" s="5" t="str">
        <v>导入测试环境流程测试</v>
      </c>
      <c r="E15" s="3" t="str">
        <v>T+18</v>
      </c>
      <c r="F15" s="3" t="str">
        <v>讯飞运营</v>
      </c>
      <c r="G15" s="3" t="str">
        <v>🔜  未开始</v>
      </c>
    </row>
    <row customHeight="true" ht="19" r="16">
      <c r="A16" s="41"/>
      <c r="B16" s="41" t="str">
        <v>业务配置</v>
      </c>
      <c r="C16" s="5" t="str">
        <v>服务号码配置</v>
      </c>
      <c r="D16" s="5" t="str">
        <v>配置新接入95号码的工作时间、提示音等</v>
      </c>
      <c r="E16" s="3" t="str">
        <v>T+20</v>
      </c>
      <c r="F16" s="3" t="str">
        <v>讯飞运营</v>
      </c>
      <c r="G16" s="3" t="str">
        <v>🔜  未开始</v>
      </c>
    </row>
    <row customHeight="true" ht="19" r="17">
      <c r="A17" s="41"/>
      <c r="B17" s="41"/>
      <c r="C17" s="5" t="str">
        <v>技能组配置</v>
      </c>
      <c r="D17" s="5" t="str">
        <v>配置新接入95号码的服务技能组</v>
      </c>
      <c r="E17" s="3" t="str">
        <v>T+20</v>
      </c>
      <c r="F17" s="3" t="str">
        <v>讯飞运营</v>
      </c>
      <c r="G17" s="3" t="str">
        <v>🔜  未开始</v>
      </c>
    </row>
    <row customHeight="true" ht="19" r="18">
      <c r="A18" s="41"/>
      <c r="B18" s="41"/>
      <c r="C18" s="5" t="str">
        <v>座席配置</v>
      </c>
      <c r="D18" s="5" t="str">
        <v>配置新接入95号码的服务座席、座席分配策略</v>
      </c>
      <c r="E18" s="3" t="str">
        <v>T+20</v>
      </c>
      <c r="F18" s="3" t="str">
        <v>讯飞运营</v>
      </c>
      <c r="G18" s="3" t="str">
        <v>🔜  未开始</v>
      </c>
    </row>
    <row customHeight="true" ht="19" r="19">
      <c r="A19" s="41"/>
      <c r="B19" s="41" t="str">
        <v>电话接入测试</v>
      </c>
      <c r="C19" s="5" t="str">
        <v>转人工测试</v>
      </c>
      <c r="D19" s="5" t="str">
        <v>拨打新接入95号码进行业务流程测试</v>
      </c>
      <c r="E19" s="3" t="str">
        <v>T+20</v>
      </c>
      <c r="F19" s="3" t="str">
        <v>讯飞运营</v>
      </c>
      <c r="G19" s="3" t="str">
        <v>🔜  未开始</v>
      </c>
    </row>
  </sheetData>
  <mergeCells>
    <mergeCell ref="B5:B7"/>
    <mergeCell ref="B3:B4"/>
    <mergeCell ref="A3:A8"/>
    <mergeCell ref="A9:A19"/>
    <mergeCell ref="B16:B18"/>
    <mergeCell ref="B14:B15"/>
    <mergeCell ref="B9:B13"/>
  </mergeCells>
  <dataValidations count="1">
    <dataValidation allowBlank="true" errorStyle="stop" showErrorMessage="true" sqref="G2:G19" type="list">
      <formula1>"✅  已完成,🔜  未开始,❌  未通过,🧑🏻‍💻  进行中"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
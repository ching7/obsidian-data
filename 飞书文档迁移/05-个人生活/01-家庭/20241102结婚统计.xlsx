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计" sheetId="2" r:id="rId5"/>
    <sheet name="代办事项" sheetId="3" r:id="rId6"/>
    <sheet name="婚礼流程" sheetId="4" r:id="rId7"/>
    <sheet name="婚礼杂项" sheetId="5" r:id="rId8"/>
    <sheet name="酒店安排" sheetId="6" r:id="rId9"/>
    <sheet name="婚纱照" sheetId="7" r:id="rId10"/>
    <sheet name="酒店" sheetId="8" r:id="rId11"/>
    <sheet name="主持+摄像+婚纱+化妆" sheetId="9" r:id="rId12"/>
    <sheet name="彩礼+烟酒+喜糖" sheetId="10" r:id="rId13"/>
    <sheet name="过礼=已完成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<sst xmlns="http://schemas.openxmlformats.org/spreadsheetml/2006/main" count="3" uniqueCount="3">
  <si>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</si>
  <si>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rgb="FF000000"/>
        <rFont val="Calibri"/>
        <family val="2"/>
      </rPr>
      <t xml:space="preserve">1.婚车拉群ok、31号晚上拉群提前2号干活的人拉群
</t>
    </r>
    <r>
      <rPr>
        <b/>
        <sz val="9.75"/>
        <color rgb="FF000000"/>
        <rFont val="Calibri"/>
        <family val="2"/>
      </rPr>
      <t xml:space="preserve">2.ok 确认化妆师、摄影师时间 = 化妆师 6点到龙川、跟拍7点到龙川
</t>
    </r>
    <r>
      <rPr>
        <sz val="9.75"/>
        <color rgb="FF000000"/>
        <rFont val="Calibri"/>
        <family val="2"/>
      </rPr>
      <t xml:space="preserve">3.ok 确定去女方家接亲的时间、地点、人物。那些人需要在龙川进行敬茶仪式，提前确认和邀请
4.彩票提前购买、ok 小红包提前准备询问银行（5-10，100）、小吴红包、给拎包妹妹红包
5.誓言卡需要提前编写
6.ok爸爸的发言致词 = 28号下午准备
7.ok给大姑的红包=问问爸妈，提前准备
8.ok改口红包提前和爸妈说
9.ok提前准备改口敬茶的道具
9.1 敬茶的流程需要提前准备
10.ok 提前告诉爷爷奶奶、外公外婆：确认大巴车的出发的时间、地点、车牌号
11.提前再准备2箱酒、2条烟、梦兰妈妈 提供香烟，我提供部分费用
13.ok 新娘、陪嫁、进新房流程
14.物业提前通知、准备电梯大门车子进新房
15.ok小孩子不给红包、提前和老人家讲
16.ok给豪爷、潘超订酒店
17.喜糖确认什么时候送</t>
    </r>
  </si>
  <si>
    <t/>
    <r>
      <rPr>
        <sz val="9.75"/>
        <color rgb="FF000000"/>
        <rFont val="Calibri"/>
        <family val="2"/>
      </rPr>
      <t xml:space="preserve">1.确认当天接亲是否需要准备额外的礼物=需要糕点、散糖、2箱烟酒
</t>
    </r>
    <r>
      <rPr>
        <b/>
        <sz val="9.75"/>
        <color rgb="FF000000"/>
        <rFont val="Calibri"/>
        <family val="2"/>
      </rPr>
      <t xml:space="preserve">2.准备2辆车：菊花加小内，提前拉群
</t>
    </r>
    <r>
      <rPr>
        <sz val="9.75"/>
        <color rgb="FF000000"/>
        <rFont val="Calibri"/>
        <family val="2"/>
      </rPr>
      <t xml:space="preserve">彩礼进门之前需要用红色簸箕从下方扫过，才能进门
3 大姑铺床 31 号铺床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</si>
</sst>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14C0FF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7EDAFB"/>
        <bgColor/>
      </patternFill>
    </fill>
  </fills>
  <borders count="3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true" applyFont="true" applyNumberFormat="false" applyProtection="false" borderId="4" fillId="3" fontId="2" numFmtId="0" xfId="0">
      <alignment horizontal="left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horizontal="left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true" applyFont="true" applyNumberFormat="false" applyProtection="false" borderId="8" fillId="4" fontId="2" numFmtId="0" xfId="0">
      <alignment horizontal="left" vertical="center"/>
    </xf>
    <xf applyAlignment="true" applyBorder="false" applyFill="false" applyFont="true" applyNumberFormat="false" applyProtection="false" borderId="9" fillId="0" fontId="1" numFmtId="0" xfId="0">
      <alignment vertical="center" wrapText="true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true" applyFont="true" applyNumberFormat="false" applyProtection="false" borderId="11" fillId="5" fontId="2" numFmtId="0" xfId="0">
      <alignment horizontal="left" vertical="center"/>
    </xf>
    <xf applyAlignment="true" applyBorder="false" applyFill="true" applyFont="true" applyNumberFormat="false" applyProtection="false" borderId="12" fillId="6" fontId="2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true" applyProtection="false" borderId="14" fillId="0" fontId="1" numFmtId="164" xfId="0">
      <alignment horizontal="center" vertical="center"/>
    </xf>
    <xf applyAlignment="true" applyBorder="false" applyFill="true" applyFont="true" applyNumberFormat="false" applyProtection="false" borderId="15" fillId="7" fontId="1" numFmtId="0" xfId="0">
      <alignment vertical="center"/>
    </xf>
    <xf applyAlignment="true" applyBorder="false" applyFill="true" applyFont="true" applyNumberFormat="false" applyProtection="false" borderId="16" fillId="8" fontId="1" numFmtId="0" xfId="0">
      <alignment horizontal="center" vertical="center"/>
    </xf>
    <xf applyAlignment="true" applyBorder="false" applyFill="false" applyFont="true" applyNumberFormat="false" applyProtection="false" borderId="17" fillId="0" fontId="3" numFmtId="0" xfId="0">
      <alignment vertical="center"/>
    </xf>
    <xf applyAlignment="true" applyBorder="false" applyFill="true" applyFont="true" applyNumberFormat="false" applyProtection="false" borderId="18" fillId="9" fontId="2" numFmtId="0" xfId="0">
      <alignment horizontal="center" vertical="center" wrapText="true"/>
    </xf>
    <xf applyAlignment="true" applyBorder="false" applyFill="true" applyFont="true" applyNumberFormat="false" applyProtection="false" borderId="19" fillId="10" fontId="2" numFmtId="0" xfId="0">
      <alignment horizontal="left" vertical="center"/>
    </xf>
    <xf applyAlignment="true" applyBorder="false" applyFill="true" applyFont="true" applyNumberFormat="false" applyProtection="false" borderId="20" fillId="11" fontId="1" numFmtId="0" xfId="0">
      <alignment horizontal="center" vertical="center"/>
    </xf>
    <xf applyAlignment="true" applyBorder="false" applyFill="true" applyFont="true" applyNumberFormat="false" applyProtection="false" borderId="21" fillId="12" fontId="4" numFmtId="0" xfId="0">
      <alignment horizontal="left" vertical="center" wrapText="true"/>
    </xf>
    <xf applyAlignment="true" applyBorder="false" applyFill="true" applyFont="true" applyNumberFormat="false" applyProtection="false" borderId="22" fillId="13" fontId="5" numFmtId="0" xfId="0">
      <alignment horizontal="center" vertical="center" wrapText="true"/>
    </xf>
    <xf applyAlignment="true" applyBorder="false" applyFill="false" applyFont="true" applyNumberFormat="false" applyProtection="false" borderId="23" fillId="0" fontId="2" numFmtId="0" xfId="0">
      <alignment horizontal="center" vertical="center" wrapText="true"/>
    </xf>
    <xf applyAlignment="true" applyBorder="false" applyFill="false" applyFont="true" applyNumberFormat="false" applyProtection="false" borderId="24" fillId="0" fontId="2" numFmtId="0" xfId="0">
      <alignment horizontal="left" vertical="center"/>
    </xf>
    <xf applyAlignment="true" applyBorder="false" applyFill="false" applyFont="true" applyNumberFormat="false" applyProtection="false" borderId="25" fillId="0" fontId="2" numFmtId="0" xfId="0">
      <alignment horizontal="right" vertical="center"/>
    </xf>
    <xf applyAlignment="true" applyBorder="false" applyFill="false" applyFont="true" applyNumberFormat="false" applyProtection="false" borderId="26" fillId="0" fontId="2" numFmtId="0" xfId="0">
      <alignment horizontal="center" vertical="bottom"/>
    </xf>
    <xf applyAlignment="true" applyBorder="false" applyFill="false" applyFont="true" applyNumberFormat="false" applyProtection="false" borderId="27" fillId="0" fontId="2" numFmtId="0" xfId="0">
      <alignment vertical="center"/>
    </xf>
    <xf applyAlignment="true" applyBorder="false" applyFill="false" applyFont="true" applyNumberFormat="false" applyProtection="false" borderId="28" fillId="0" fontId="2" numFmtId="0" xfId="0">
      <alignment horizontal="center" vertical="center"/>
    </xf>
    <xf applyAlignment="true" applyBorder="false" applyFill="true" applyFont="true" applyNumberFormat="false" applyProtection="false" borderId="29" fillId="14" fontId="2" numFmtId="0" xfId="0">
      <alignment horizontal="left" vertical="center"/>
    </xf>
    <xf applyAlignment="true" applyBorder="false" applyFill="false" applyFont="true" applyNumberFormat="false" applyProtection="false" borderId="30" fillId="0" fontId="6" numFmtId="0" xfId="0">
      <alignment horizontal="left" vertical="center" wrapText="true"/>
    </xf>
    <xf applyAlignment="true" applyBorder="false" applyFill="true" applyFont="true" applyNumberFormat="false" applyProtection="false" borderId="31" fillId="15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38100</xdr:colOff>
      <xdr:row>1</xdr:row>
      <xdr:rowOff>38100</xdr:rowOff>
    </xdr:from>
    <xdr:to>
      <xdr:col>10</xdr:col>
      <xdr:colOff>-38100</xdr:colOff>
      <xdr:row>2</xdr:row>
      <xdr:rowOff>-38100</xdr:rowOff>
    </xdr:to>
    <xdr:pic>
      <xdr:nvPicPr>
        <xdr:cNvPr id="2" name="Picture 2" descr="hiZZL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2"/>
  </cols>
  <sheetData>
    <row r="1">
      <c r="A1" s="2" t="str">
        <v>类别</v>
      </c>
      <c r="B1" s="2" t="str">
        <v>预计费用</v>
      </c>
      <c r="C1" s="2" t="str">
        <v>`</v>
      </c>
    </row>
    <row r="2">
      <c r="A2" s="1" t="str">
        <v>婚纱照</v>
      </c>
      <c r="B2" s="1">
        <f>'婚纱照'!E6</f>
      </c>
      <c r="C2" s="1">
        <f>'婚纱照'!C6</f>
      </c>
    </row>
    <row r="3">
      <c r="A3" s="1" t="str">
        <v>酒店</v>
      </c>
      <c r="B3" s="1">
        <f>'酒店'!H2</f>
      </c>
      <c r="C3" s="1">
        <v>93821</v>
      </c>
    </row>
    <row r="4">
      <c r="A4" s="1" t="str">
        <v>主持+摄像+婚纱+化妆</v>
      </c>
      <c r="B4" s="1">
        <v>4968</v>
      </c>
      <c r="C4" s="1">
        <v>7864</v>
      </c>
    </row>
    <row r="5">
      <c r="A5" s="1" t="str">
        <v>彩礼+烟酒+喜糖</v>
      </c>
      <c r="B5" s="1">
        <f>'彩礼+烟酒+喜糖'!D7</f>
      </c>
      <c r="C5" s="1">
        <f>'彩礼+烟酒+喜糖'!E7</f>
      </c>
    </row>
    <row customHeight="true" ht="19" r="6">
      <c r="A6" s="1" t="str">
        <v>新车</v>
      </c>
      <c r="B6" s="1">
        <v>40000</v>
      </c>
      <c r="C6" s="1">
        <v>40000</v>
      </c>
    </row>
    <row customHeight="true" ht="19" r="7">
      <c r="A7" s="1" t="str">
        <v>杂项</v>
      </c>
      <c r="B7" s="1"/>
      <c r="C7" s="1">
        <f>'婚礼杂项'!E16</f>
      </c>
    </row>
    <row r="8">
      <c r="A8" s="1"/>
      <c r="B8" s="1">
        <f>SUM(B2:B7)</f>
      </c>
      <c r="C8" s="1">
        <f>SUM(C2:C7)</f>
      </c>
    </row>
    <row customHeight="true" ht="15" r="9"/>
    <row customHeight="true" ht="14" r="10">
      <c r="C10">
        <f>C8-88000-C6-C2</f>
      </c>
    </row>
    <row customHeight="true" ht="12" r="11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85"/>
  </cols>
  <sheetData>
    <row r="1">
      <c r="A1" s="3" t="str">
        <v>代办</v>
      </c>
      <c r="B1" s="3" t="str">
        <v>备注</v>
      </c>
    </row>
    <row r="2">
      <c r="A2" s="3" t="str">
        <v>近期代办</v>
      </c>
      <c r="B2" s="3" t="s">
        <v>1</v>
      </c>
    </row>
    <row r="3">
      <c r="A3" s="3" t="str">
        <v>30号</v>
      </c>
      <c r="B3" s="3" t="str">
        <v>1.打扫卫生</v>
      </c>
    </row>
    <row r="4">
      <c r="A4" s="3" t="str">
        <v>31号</v>
      </c>
      <c r="B4" s="3" t="str">
        <v>1.接姨娘，到舅舅家=下午3点，4点出发接大姑去南湖春城
2.家里的床上是否需要摆东西：已有糕、棉籽、花生、红枣。是否需要桂圆、莲子 = 上午
3.散糖、糕点：每一桌的散糖、当天2号的带的散糖、糕点。= 上午
4.取零钱红包30个5、30个10块、10个100，5个50， 200妹妹的、200小吴的、200给姨娘的</v>
      </c>
    </row>
    <row r="5">
      <c r="A5" s="3" t="str">
        <v>1号上午送东西到酒店</v>
      </c>
      <c r="B5" s="3" t="str">
        <v>1.礼服婚纱：上午拿 
2.烟酒：随礼的烟、每桌子的酒
3.喜糖：让礼品店的人送</v>
      </c>
    </row>
    <row r="6">
      <c r="A6" s="3" t="str">
        <v>1号下午</v>
      </c>
      <c r="B6" s="3" t="str">
        <v>1.装饰龙川的房子，给小吴的道具打气
2.装饰完就各自回家，
3.和各个人确认第二天的流程，最好拉个群
4.确认下第二天敬茶那些人到现场：大姑、爸妈、在南湖的舅舅</v>
      </c>
    </row>
    <row r="7">
      <c r="B7" s="3" t="str">
        <v>给拎包的妹妹红包🧧（200，婚礼结束给）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16"/>
    <col collapsed="false" customWidth="true" hidden="false" max="3" min="3" style="0" width="44"/>
    <col collapsed="false" customWidth="true" hidden="false" max="4" min="4" style="0" width="44"/>
    <col collapsed="false" customWidth="true" hidden="false" max="5" min="5" style="0" width="72"/>
    <col collapsed="false" customWidth="true" hidden="false" max="6" min="6" style="0" width="44"/>
  </cols>
  <sheetData>
    <row r="1">
      <c r="A1" s="11" t="str">
        <v>时间</v>
      </c>
      <c r="B1" s="12" t="str">
        <v>分类</v>
      </c>
      <c r="C1" s="12" t="str">
        <v>内容</v>
      </c>
      <c r="D1" s="12" t="str">
        <v>人员安排</v>
      </c>
      <c r="E1" s="11" t="str">
        <v>明细</v>
      </c>
    </row>
    <row r="2">
      <c r="A2" s="4" t="str">
        <v>前一天</v>
      </c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 t="str">
        <v>11月1号-中午或者晚上</v>
      </c>
      <c r="B3" s="7" t="str">
        <v>男方人员安排</v>
      </c>
      <c r="C3" s="7" t="str">
        <v>1.确认第二天的工作人员
2.确认第二天的人员分工
3.相关人员聚餐、通知</v>
      </c>
      <c r="D3" s="6" t="str">
        <v>1.记账：大舅
2.整理礼金：
3.随礼的:喜糖、香烟：舰艇哥
4.座位安排外面迎宾，散烟：二伯、小伯
5.座位里面座位安排，散烟：小舅
6.餐前餐后酒水整理：二姑，大舅妈，小舅妈，以及所有人全部桌
7. 提前放烟，糖：二妈，小妈，全部桌</v>
      </c>
      <c r="E3" s="3" t="str">
        <v>大巴车跟车，大姑爷</v>
      </c>
    </row>
    <row r="4">
      <c r="A4" s="6" t="str">
        <v>11月1号-晚上</v>
      </c>
      <c r="B4" s="7" t="str">
        <v>女方人员安排</v>
      </c>
      <c r="C4" s="7" t="str">
        <v>1.确认第二天的工作人员
2.确认第二天的人员分工
3.相关人员聚餐、通知</v>
      </c>
      <c r="D4" s="6" t="str">
        <v>1.记账：吴琴
2.整理礼金:小露
3.喜礼：小龙
4.座位安排外面迎宾：三伯伯
5.座位里面座位安排：小舅</v>
      </c>
    </row>
    <row r="5">
      <c r="A5" s="6" t="str">
        <v>11月1号-下午</v>
      </c>
      <c r="B5" s="7" t="str">
        <v>物料</v>
      </c>
      <c r="C5" s="7" t="str">
        <v>1.取婚纱、西服
2.往酒店送礼品
3.往酒店送烟酒
4.往酒店送喜糖</v>
      </c>
      <c r="D5" s="6"/>
    </row>
    <row r="6">
      <c r="A6" s="8" t="str">
        <v>当天</v>
      </c>
      <c r="B6" s="8"/>
      <c r="C6" s="8"/>
      <c r="D6" s="8"/>
      <c r="E6" s="8"/>
    </row>
    <row r="7">
      <c r="A7" s="6" t="str">
        <v>11月2号-早上</v>
      </c>
      <c r="B7" s="7" t="str">
        <v>接亲</v>
      </c>
      <c r="C7" s="7" t="str">
        <v>1.4：40 亚男从龙川北门楼下集合
2.5:00 点从龙川出发到卫岗，接梦兰、嫁妆
3.5:30 从卫岗出发到龙川
4.5:50 点到龙川，6点开始化妆，9点结束。新娘、新郎、妈妈
5.梦兰爸妈8点30到龙川
4.9点换衣服化妆、换衣服</v>
      </c>
      <c r="D7" s="6" t="str">
        <v>1.大姑、爸妈*4、
2.小内、菊花、豪爷：敬茶的时候到
3.梦兰弟弟、小姨娘，一起过来送彩礼：准备200红包
4.化妆师、摄影师</v>
      </c>
      <c r="E7" s="3" t="s">
        <v>2</v>
      </c>
    </row>
    <row r="8">
      <c r="A8" s="6" t="str">
        <v>11月2号-早上</v>
      </c>
      <c r="B8" s="7" t="str">
        <v>敬茶</v>
      </c>
      <c r="C8" s="7" t="str">
        <v>1.9:00 点开始：双方父母、双方朋友到场
2.主持敬茶仪式，需要双方朋友配合，参考国庆4号婚礼
3.9:30 点完成敬茶出发</v>
      </c>
      <c r="D8" s="6" t="str">
        <v>1.大姑、爸妈*4、弟弟、舅舅
2.小内、菊花、豪爷：敬茶的时候到
3.化妆师、摄影师</v>
      </c>
      <c r="E8" s="3" t="str">
        <v>1.准备2个托盘，4杯温茶
2.男方爸爸 男方妈妈 女方妈妈  女方爸爸
                   梦兰       亚男
3.请新人给2位妈妈敬茶： 给妈妈敬茶、红包，男方先敬茶、再女方
4.请新人给2位爸爸敬茶：给爸爸敬茶、红包，男方先敬茶、再女方</v>
      </c>
    </row>
    <row r="9">
      <c r="A9" s="6" t="str">
        <v>11月2号-早上</v>
      </c>
      <c r="B9" s="7" t="str">
        <v>送亲</v>
      </c>
      <c r="C9" s="7" t="str">
        <v>1.10 点到达酒店
2.迎宾拍照 提前和督导说</v>
      </c>
      <c r="D9" s="6"/>
      <c r="E9" s="3" t="str">
        <v>1.敬茶结束后，一起送到酒店</v>
      </c>
    </row>
    <row r="10">
      <c r="A10" s="7" t="str">
        <v>11月2号-中午</v>
      </c>
      <c r="B10" s="7" t="str">
        <v>婚礼流程</v>
      </c>
      <c r="C10" s="7"/>
      <c r="D10" s="3" t="str">
        <v>1.新娘入场配合开门：
2.配合主持人送戒指：
3.配合主持人送礼物：
4.配合主持人抛捧花：</v>
      </c>
      <c r="E10" s="9" t="str">
        <v>* 仪式前为暖场迎宾时间，主持人有播报，邀请来宾落座 等待婚礼开始时间
灯光秀
开场视频：（横版视频） = 已完成
主持人开场白（位置：主舞台上及T台前段 ）
新郎登场：（新郎先在主桌就座 主持人邀请后 新郎正式登场 面向左右两方来宾鞠躬，主持人话语铺垫， 静待新娘入场）（重点彩排）
新娘入场（新娘自己入场）：（主持人邀请来宾正式看向仪式门 灯光亮起 新娘双手提裙摆正式入场 径直走向副舞台方向）（重点彩排）
献花＋共同入场：（主持人引导 新郎单膝点地献上手捧花，新娘俯身接花，新郎随即起身，站至新娘右侧，一起看向前方 主持人正式邀请新郎新娘步入婚礼殿堂） = 爸爸妈妈在T台末端给拥抱和鼓励
誓约：（新人自述：主持人引语，新郎新娘相对而立，督导呈上话筒和誓言卡。先行邀请新郎说出誓言，随后新娘说誓词。结束后督导收下话筒和誓言卡） = 今晚写一下，准备一下誓言卡
受戒礼＋拥吻一刻：（小宝宝和他的妈妈（暂定）作为送戒人送上戒指。在主持人提示语中，新郎率先为新娘戴上戒指（吻手礼） 新娘随后为新郎戴上戒指（贴面礼） 戴戒结束后拥吻）（重点彩排） = 确认宝宝和他妈妈一起，提前让宝宝一个，宝贝衣服妈妈准备，红包由我们给
主证婚人：待定 = 没有
双方父母登场:（邀请双方父母登场 妈妈们走前面 爸爸们走后面 站到新郎新娘身旁 一起看向大家的方向） = 新郎到爸爸说，表达感谢，需要致词稿
共同举杯:（督导呈上全家人的酒杯  主持人诚邀全家人 全场来宾共同举杯，全场一起饮下）（6杯）
捧花仪式-抛好柿发生：新人来到指定位置，邀请朋友来到舞台上（彩票） = 准备柿子玩偶+ 事后给彩票（符合婚礼主题的刮刮乐，面额10-20）
大合影：主持人引语新人面向主舞台，摄影摄像老师来到主舞台拍照，督导老师帮助新娘整理婚纱。主持人引导大家做拍照动作（两张亮场照片，一张暗场照片）
退  场：主持人引导新人转身面向大门共同退场，仪式结束
后场互动环节：大屏互动（猜麻将，诗词答题，开心猜成语），猜歌名
礼物准备数量在桌数的1.5-2.0倍（节假日建议2.0倍） = 玩偶 30个 + 红包 50 个
婚礼的音乐：需要放一些音乐，给一个歌单 = 给过了
</v>
      </c>
      <c r="F10" s="10"/>
    </row>
    <row r="11">
      <c r="A11" s="8" t="str">
        <v>第二天=回门</v>
      </c>
      <c r="B11" s="8"/>
      <c r="C11" s="8"/>
      <c r="D11" s="8"/>
      <c r="E11" s="8"/>
    </row>
  </sheetData>
  <mergeCells>
    <mergeCell ref="A2:E2"/>
    <mergeCell ref="A6:E6"/>
    <mergeCell ref="A11:E1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6" min="6" style="0" width="32"/>
  </cols>
  <sheetData>
    <row r="1">
      <c r="A1" s="15" t="str">
        <v>类型</v>
      </c>
      <c r="B1" s="16" t="str">
        <v>日期</v>
      </c>
      <c r="C1" s="16" t="str">
        <v>数量</v>
      </c>
      <c r="D1" s="16" t="str">
        <v>是否购买</v>
      </c>
      <c r="E1" s="16" t="str">
        <v>费用</v>
      </c>
      <c r="F1" s="15" t="str">
        <v>备注</v>
      </c>
    </row>
    <row r="2">
      <c r="A2" s="3" t="str">
        <v>皮鞋</v>
      </c>
      <c r="B2" s="14">
        <v>45559</v>
      </c>
      <c r="C2" s="13">
        <v>1</v>
      </c>
      <c r="D2" s="13" t="str">
        <v>是</v>
      </c>
      <c r="E2" s="13">
        <v>254</v>
      </c>
    </row>
    <row r="3">
      <c r="A3" s="3" t="str">
        <v>红包</v>
      </c>
      <c r="B3" s="14">
        <v>45559</v>
      </c>
      <c r="C3" s="13"/>
      <c r="D3" s="13" t="str">
        <v>是</v>
      </c>
      <c r="E3" s="13"/>
    </row>
    <row r="4">
      <c r="A4" s="3" t="str">
        <v>玩偶、礼物</v>
      </c>
      <c r="B4" s="13"/>
      <c r="C4" s="13">
        <v>30</v>
      </c>
      <c r="D4" s="13" t="str">
        <v>是</v>
      </c>
      <c r="E4" s="13"/>
    </row>
    <row r="5">
      <c r="A5" s="3" t="str">
        <v>妈妈的包</v>
      </c>
      <c r="B5" s="14">
        <v>45560</v>
      </c>
      <c r="C5" s="13">
        <v>2</v>
      </c>
      <c r="D5" s="13" t="str">
        <v>是</v>
      </c>
      <c r="E5" s="13"/>
    </row>
    <row r="6">
      <c r="A6" s="3" t="str">
        <v>爸妈的衣服</v>
      </c>
      <c r="B6" s="13"/>
      <c r="C6" s="13">
        <v>4</v>
      </c>
      <c r="D6" s="13" t="str">
        <v>是</v>
      </c>
      <c r="E6" s="13"/>
      <c r="F6" s="3"/>
    </row>
    <row r="7">
      <c r="A7" s="3" t="str">
        <v>爷爷奶奶的鞋</v>
      </c>
      <c r="B7" s="13"/>
      <c r="C7" s="13">
        <v>2</v>
      </c>
      <c r="D7" s="13" t="str">
        <v>是</v>
      </c>
      <c r="E7" s="13"/>
      <c r="F7" s="3"/>
    </row>
    <row r="8">
      <c r="A8" s="3" t="str">
        <v>外公外婆的鞋</v>
      </c>
      <c r="B8" s="13"/>
      <c r="C8" s="13">
        <v>3</v>
      </c>
      <c r="D8" s="13" t="str">
        <v>是</v>
      </c>
      <c r="E8" s="13"/>
      <c r="F8" s="3"/>
    </row>
    <row r="9">
      <c r="A9" s="3" t="str">
        <v>新家结婚装饰</v>
      </c>
      <c r="B9" s="13"/>
      <c r="C9" s="13"/>
      <c r="D9" s="13"/>
      <c r="E9" s="13"/>
    </row>
    <row r="10">
      <c r="A10" s="3" t="str">
        <v>四件套</v>
      </c>
      <c r="B10" s="13"/>
      <c r="C10" s="13">
        <v>4</v>
      </c>
      <c r="D10" s="13" t="str">
        <v>已买2</v>
      </c>
      <c r="E10" s="13">
        <v>500</v>
      </c>
      <c r="F10" s="3" t="str">
        <v>1.红色结婚当天的4件套，买2个
2.已买</v>
      </c>
    </row>
    <row r="11">
      <c r="A11" s="3" t="str">
        <v>婚鞋</v>
      </c>
      <c r="B11" s="13"/>
      <c r="C11" s="13">
        <v>2</v>
      </c>
      <c r="D11" s="13" t="str">
        <v>已买1</v>
      </c>
      <c r="E11" s="13"/>
    </row>
    <row customHeight="true" ht="22" r="12">
      <c r="A12" s="3" t="str">
        <v>大巴车</v>
      </c>
      <c r="B12" s="13"/>
      <c r="C12" s="13">
        <v>1</v>
      </c>
      <c r="D12" s="13"/>
      <c r="E12" s="13">
        <v>2000</v>
      </c>
      <c r="F12" s="17" t="str">
        <v>需要48座以上，提前确认接人地址、人数</v>
      </c>
    </row>
    <row r="13">
      <c r="A13" s="3" t="str">
        <v>散糖</v>
      </c>
      <c r="B13" s="13"/>
      <c r="C13" s="13"/>
      <c r="D13" s="13"/>
      <c r="E13" s="13">
        <v>1000</v>
      </c>
      <c r="F13" s="3" t="str">
        <v>要额外的的小盒子，小纱袋，买 2 条糕，桂圆，红枣，莲子，花生。</v>
      </c>
    </row>
    <row r="14">
      <c r="A14" s="3" t="str">
        <v>鞭炮礼花</v>
      </c>
      <c r="B14" s="13">
        <v>120</v>
      </c>
      <c r="C14" s="13">
        <v>1</v>
      </c>
      <c r="D14" s="13" t="str">
        <v>已买</v>
      </c>
      <c r="E14" s="13">
        <v>120</v>
      </c>
    </row>
    <row r="15">
      <c r="B15" s="13"/>
      <c r="C15" s="13"/>
      <c r="D15" s="13"/>
      <c r="E15" s="13"/>
    </row>
    <row r="16">
      <c r="B16" s="13"/>
      <c r="C16" s="13"/>
      <c r="D16" s="13"/>
      <c r="E16" s="13">
        <f>SUM(E2:E15)</f>
      </c>
    </row>
    <row r="17">
      <c r="B17" s="13"/>
      <c r="C17" s="13"/>
      <c r="D17" s="13"/>
      <c r="E17" s="13"/>
    </row>
    <row r="18">
      <c r="B18" s="13"/>
      <c r="C18" s="13"/>
      <c r="D18" s="13"/>
      <c r="E18" s="13"/>
    </row>
    <row r="19">
      <c r="B19" s="13"/>
      <c r="C19" s="13"/>
      <c r="D19" s="13"/>
      <c r="E19" s="13"/>
    </row>
    <row r="20">
      <c r="B20" s="13"/>
      <c r="C20" s="13"/>
      <c r="D20" s="13"/>
      <c r="E20" s="13"/>
    </row>
    <row r="21">
      <c r="B21" s="13"/>
      <c r="C21" s="13"/>
      <c r="D21" s="13"/>
      <c r="E21" s="13"/>
    </row>
    <row r="22">
      <c r="B22" s="13"/>
      <c r="C22" s="13"/>
      <c r="D22" s="13"/>
      <c r="E22" s="13"/>
    </row>
    <row r="23">
      <c r="B23" s="13"/>
      <c r="C23" s="13"/>
      <c r="D23" s="13"/>
      <c r="E23" s="13"/>
    </row>
    <row r="24">
      <c r="B24" s="13"/>
      <c r="C24" s="13"/>
      <c r="D24" s="13"/>
      <c r="E24" s="13"/>
    </row>
    <row r="25">
      <c r="B25" s="13"/>
      <c r="C25" s="13"/>
      <c r="D25" s="13"/>
      <c r="E25" s="13"/>
    </row>
    <row r="26">
      <c r="B26" s="13"/>
      <c r="C26" s="13"/>
      <c r="D26" s="13"/>
      <c r="E26" s="13"/>
    </row>
    <row r="27">
      <c r="B27" s="13"/>
      <c r="C27" s="13"/>
      <c r="D27" s="13"/>
      <c r="E27" s="13"/>
    </row>
    <row r="28">
      <c r="B28" s="13"/>
      <c r="C28" s="13"/>
      <c r="D28" s="13"/>
      <c r="E28" s="13"/>
    </row>
    <row r="29">
      <c r="B29" s="13"/>
      <c r="C29" s="13"/>
      <c r="D29" s="13"/>
      <c r="E29" s="13"/>
    </row>
    <row r="30">
      <c r="B30" s="13"/>
      <c r="C30" s="13"/>
      <c r="D30" s="13"/>
      <c r="E30" s="13"/>
    </row>
    <row r="31">
      <c r="B31" s="13"/>
      <c r="C31" s="13"/>
      <c r="D31" s="13"/>
      <c r="E31" s="13"/>
    </row>
    <row r="32">
      <c r="B32" s="13"/>
      <c r="C32" s="13"/>
      <c r="D32" s="13"/>
      <c r="E32" s="13"/>
    </row>
    <row r="33">
      <c r="B33" s="13"/>
      <c r="C33" s="13"/>
      <c r="D33" s="13"/>
      <c r="E33" s="13"/>
    </row>
    <row r="34">
      <c r="B34" s="13"/>
      <c r="C34" s="13"/>
      <c r="D34" s="13"/>
      <c r="E34" s="13"/>
    </row>
    <row r="35">
      <c r="B35" s="13"/>
      <c r="C35" s="13"/>
      <c r="D35" s="13"/>
      <c r="E35" s="13"/>
    </row>
    <row r="36">
      <c r="B36" s="13"/>
      <c r="C36" s="13"/>
      <c r="D36" s="13"/>
      <c r="E36" s="13"/>
    </row>
    <row r="37">
      <c r="B37" s="13"/>
      <c r="C37" s="13"/>
      <c r="D37" s="13"/>
      <c r="E37" s="13"/>
    </row>
    <row r="38">
      <c r="B38" s="13"/>
      <c r="C38" s="13"/>
      <c r="D38" s="13"/>
      <c r="E38" s="13"/>
    </row>
    <row r="39">
      <c r="B39" s="13"/>
      <c r="C39" s="13"/>
      <c r="D39" s="13"/>
      <c r="E39" s="13"/>
    </row>
    <row r="40">
      <c r="B40" s="13"/>
      <c r="C40" s="13"/>
      <c r="D40" s="13"/>
      <c r="E40" s="13"/>
    </row>
    <row r="41">
      <c r="B41" s="13"/>
      <c r="C41" s="13"/>
      <c r="D41" s="13"/>
      <c r="E41" s="13"/>
    </row>
    <row r="42">
      <c r="B42" s="13"/>
      <c r="C42" s="13"/>
      <c r="D42" s="13"/>
      <c r="E42" s="13"/>
    </row>
    <row r="43">
      <c r="B43" s="13"/>
      <c r="C43" s="13"/>
      <c r="D43" s="13"/>
      <c r="E43" s="13"/>
    </row>
    <row r="44">
      <c r="B44" s="13"/>
      <c r="C44" s="13"/>
      <c r="D44" s="13"/>
      <c r="E44" s="13"/>
    </row>
    <row r="45">
      <c r="B45" s="13"/>
      <c r="C45" s="13"/>
      <c r="D45" s="13"/>
      <c r="E45" s="13"/>
    </row>
    <row r="46">
      <c r="B46" s="13"/>
      <c r="C46" s="13"/>
      <c r="D46" s="13"/>
      <c r="E46" s="13"/>
    </row>
    <row r="47">
      <c r="B47" s="13"/>
      <c r="C47" s="13"/>
      <c r="D47" s="13"/>
      <c r="E47" s="13"/>
    </row>
    <row r="48">
      <c r="B48" s="13"/>
      <c r="C48" s="13"/>
      <c r="D48" s="13"/>
      <c r="E48" s="13"/>
    </row>
    <row r="49">
      <c r="B49" s="13"/>
      <c r="C49" s="13"/>
      <c r="D49" s="13"/>
      <c r="E49" s="13"/>
    </row>
    <row r="50">
      <c r="B50" s="13"/>
      <c r="C50" s="13"/>
      <c r="D50" s="13"/>
      <c r="E50" s="13"/>
    </row>
    <row r="51">
      <c r="B51" s="13"/>
      <c r="C51" s="13"/>
      <c r="D51" s="13"/>
      <c r="E51" s="13"/>
    </row>
    <row r="52">
      <c r="B52" s="13"/>
      <c r="C52" s="13"/>
      <c r="D52" s="13"/>
      <c r="E52" s="13"/>
    </row>
    <row r="53">
      <c r="B53" s="13"/>
      <c r="C53" s="13"/>
      <c r="D53" s="13"/>
      <c r="E53" s="13"/>
    </row>
    <row r="54">
      <c r="B54" s="13"/>
      <c r="C54" s="13"/>
      <c r="D54" s="13"/>
      <c r="E54" s="13"/>
    </row>
    <row r="55">
      <c r="B55" s="13"/>
      <c r="C55" s="13"/>
      <c r="D55" s="13"/>
      <c r="E55" s="13"/>
    </row>
    <row r="56">
      <c r="B56" s="13"/>
      <c r="C56" s="13"/>
      <c r="D56" s="13"/>
      <c r="E56" s="13"/>
    </row>
    <row r="57">
      <c r="B57" s="13"/>
      <c r="C57" s="13"/>
      <c r="D57" s="13"/>
      <c r="E57" s="13"/>
    </row>
    <row r="58">
      <c r="B58" s="13"/>
      <c r="C58" s="13"/>
      <c r="D58" s="13"/>
      <c r="E58" s="13"/>
    </row>
    <row r="59">
      <c r="B59" s="13"/>
      <c r="C59" s="13"/>
      <c r="D59" s="13"/>
      <c r="E59" s="13"/>
    </row>
    <row r="60">
      <c r="B60" s="13"/>
      <c r="C60" s="13"/>
      <c r="D60" s="13"/>
      <c r="E60" s="13"/>
    </row>
    <row r="61">
      <c r="B61" s="13"/>
      <c r="C61" s="13"/>
      <c r="D61" s="13"/>
      <c r="E61" s="13"/>
    </row>
    <row r="62">
      <c r="B62" s="13"/>
      <c r="C62" s="13"/>
      <c r="D62" s="13"/>
      <c r="E62" s="13"/>
    </row>
    <row r="63">
      <c r="B63" s="13"/>
      <c r="C63" s="13"/>
      <c r="D63" s="13"/>
      <c r="E63" s="13"/>
    </row>
    <row r="64">
      <c r="B64" s="13"/>
      <c r="C64" s="13"/>
      <c r="D64" s="13"/>
      <c r="E64" s="13"/>
    </row>
    <row r="65">
      <c r="B65" s="13"/>
      <c r="C65" s="13"/>
      <c r="D65" s="13"/>
      <c r="E65" s="13"/>
    </row>
    <row r="66">
      <c r="B66" s="13"/>
      <c r="C66" s="13"/>
      <c r="D66" s="13"/>
      <c r="E66" s="13"/>
    </row>
    <row r="67">
      <c r="B67" s="13"/>
      <c r="C67" s="13"/>
      <c r="D67" s="13"/>
      <c r="E67" s="13"/>
    </row>
    <row r="68">
      <c r="B68" s="13"/>
      <c r="C68" s="13"/>
      <c r="D68" s="13"/>
      <c r="E68" s="13"/>
    </row>
    <row r="69">
      <c r="B69" s="13"/>
      <c r="C69" s="13"/>
      <c r="D69" s="13"/>
      <c r="E69" s="13"/>
    </row>
    <row r="70">
      <c r="B70" s="13"/>
      <c r="C70" s="13"/>
      <c r="D70" s="13"/>
      <c r="E70" s="13"/>
    </row>
    <row r="71">
      <c r="B71" s="13"/>
      <c r="C71" s="13"/>
      <c r="D71" s="13"/>
      <c r="E71" s="13"/>
    </row>
    <row r="72">
      <c r="B72" s="13"/>
      <c r="C72" s="13"/>
      <c r="D72" s="13"/>
      <c r="E72" s="13"/>
    </row>
    <row r="73">
      <c r="B73" s="13"/>
      <c r="C73" s="13"/>
      <c r="D73" s="13"/>
      <c r="E73" s="13"/>
    </row>
    <row r="74">
      <c r="B74" s="13"/>
      <c r="C74" s="13"/>
      <c r="D74" s="13"/>
      <c r="E74" s="13"/>
    </row>
    <row r="75">
      <c r="B75" s="13"/>
      <c r="C75" s="13"/>
      <c r="D75" s="13"/>
      <c r="E75" s="13"/>
    </row>
    <row r="76">
      <c r="B76" s="13"/>
      <c r="C76" s="13"/>
      <c r="D76" s="13"/>
      <c r="E76" s="13"/>
    </row>
    <row r="77">
      <c r="B77" s="13"/>
      <c r="C77" s="13"/>
      <c r="D77" s="13"/>
      <c r="E77" s="13"/>
    </row>
    <row r="78">
      <c r="B78" s="13"/>
      <c r="C78" s="13"/>
      <c r="D78" s="13"/>
      <c r="E78" s="13"/>
    </row>
    <row r="79">
      <c r="B79" s="13"/>
      <c r="C79" s="13"/>
      <c r="D79" s="13"/>
      <c r="E79" s="13"/>
    </row>
    <row r="80">
      <c r="B80" s="13"/>
      <c r="C80" s="13"/>
      <c r="D80" s="13"/>
      <c r="E80" s="13"/>
    </row>
    <row r="81">
      <c r="B81" s="13"/>
      <c r="C81" s="13"/>
      <c r="D81" s="13"/>
      <c r="E81" s="13"/>
    </row>
    <row r="82">
      <c r="B82" s="13"/>
      <c r="C82" s="13"/>
      <c r="D82" s="13"/>
      <c r="E82" s="13"/>
    </row>
    <row r="83">
      <c r="B83" s="13"/>
      <c r="C83" s="13"/>
      <c r="D83" s="13"/>
      <c r="E83" s="13"/>
    </row>
    <row r="84">
      <c r="B84" s="13"/>
      <c r="C84" s="13"/>
      <c r="D84" s="13"/>
      <c r="E84" s="13"/>
    </row>
    <row r="85">
      <c r="B85" s="13"/>
      <c r="C85" s="13"/>
      <c r="D85" s="13"/>
      <c r="E85" s="13"/>
    </row>
    <row r="86">
      <c r="B86" s="13"/>
      <c r="C86" s="13"/>
      <c r="D86" s="13"/>
      <c r="E86" s="13"/>
    </row>
    <row r="87">
      <c r="B87" s="13"/>
      <c r="C87" s="13"/>
      <c r="D87" s="13"/>
      <c r="E87" s="13"/>
    </row>
    <row r="88">
      <c r="B88" s="13"/>
      <c r="C88" s="13"/>
      <c r="D88" s="13"/>
      <c r="E88" s="13"/>
    </row>
    <row r="89">
      <c r="B89" s="13"/>
      <c r="C89" s="13"/>
      <c r="D89" s="13"/>
      <c r="E89" s="13"/>
    </row>
    <row r="90">
      <c r="B90" s="13"/>
      <c r="C90" s="13"/>
      <c r="D90" s="13"/>
      <c r="E90" s="13"/>
    </row>
    <row r="91">
      <c r="B91" s="13"/>
      <c r="C91" s="13"/>
      <c r="D91" s="13"/>
      <c r="E91" s="13"/>
    </row>
    <row r="92">
      <c r="B92" s="13"/>
      <c r="C92" s="13"/>
      <c r="D92" s="13"/>
      <c r="E92" s="13"/>
    </row>
    <row r="93">
      <c r="B93" s="13"/>
      <c r="C93" s="13"/>
      <c r="D93" s="13"/>
      <c r="E93" s="13"/>
    </row>
    <row r="94">
      <c r="B94" s="13"/>
      <c r="C94" s="13"/>
      <c r="D94" s="13"/>
      <c r="E94" s="13"/>
    </row>
    <row r="95">
      <c r="B95" s="13"/>
      <c r="C95" s="13"/>
      <c r="D95" s="13"/>
      <c r="E95" s="13"/>
    </row>
    <row r="96">
      <c r="B96" s="13"/>
      <c r="C96" s="13"/>
      <c r="D96" s="13"/>
      <c r="E96" s="13"/>
    </row>
    <row r="97">
      <c r="B97" s="13"/>
      <c r="C97" s="13"/>
      <c r="D97" s="13"/>
      <c r="E97" s="13"/>
    </row>
    <row r="98">
      <c r="B98" s="13"/>
      <c r="C98" s="13"/>
      <c r="D98" s="13"/>
      <c r="E98" s="13"/>
    </row>
    <row r="99">
      <c r="B99" s="13"/>
      <c r="C99" s="13"/>
      <c r="D99" s="13"/>
      <c r="E99" s="13"/>
    </row>
    <row r="100">
      <c r="B100" s="13"/>
      <c r="C100" s="13"/>
      <c r="D100" s="13"/>
      <c r="E100" s="13"/>
    </row>
    <row r="101">
      <c r="B101" s="13"/>
      <c r="C101" s="13"/>
      <c r="D101" s="13"/>
      <c r="E101" s="13"/>
    </row>
    <row r="102">
      <c r="B102" s="13"/>
      <c r="C102" s="13"/>
      <c r="D102" s="13"/>
      <c r="E102" s="13"/>
    </row>
    <row r="103">
      <c r="B103" s="13"/>
      <c r="C103" s="13"/>
      <c r="D103" s="13"/>
      <c r="E103" s="13"/>
    </row>
    <row r="104">
      <c r="B104" s="13"/>
      <c r="C104" s="13"/>
      <c r="D104" s="13"/>
      <c r="E104" s="13"/>
    </row>
    <row r="105">
      <c r="B105" s="13"/>
      <c r="C105" s="13"/>
      <c r="D105" s="13"/>
      <c r="E105" s="13"/>
    </row>
    <row r="106">
      <c r="B106" s="13"/>
      <c r="C106" s="13"/>
      <c r="D106" s="13"/>
      <c r="E106" s="13"/>
    </row>
    <row r="107">
      <c r="B107" s="13"/>
      <c r="C107" s="13"/>
      <c r="D107" s="13"/>
      <c r="E107" s="13"/>
    </row>
    <row r="108">
      <c r="B108" s="13"/>
      <c r="C108" s="13"/>
      <c r="D108" s="13"/>
      <c r="E108" s="13"/>
    </row>
    <row r="109">
      <c r="B109" s="13"/>
      <c r="C109" s="13"/>
      <c r="D109" s="13"/>
      <c r="E109" s="13"/>
    </row>
    <row r="110">
      <c r="B110" s="13"/>
      <c r="C110" s="13"/>
      <c r="D110" s="13"/>
      <c r="E110" s="13"/>
    </row>
    <row r="111">
      <c r="B111" s="13"/>
      <c r="C111" s="13"/>
      <c r="D111" s="13"/>
      <c r="E111" s="13"/>
    </row>
    <row r="112">
      <c r="B112" s="13"/>
      <c r="C112" s="13"/>
      <c r="D112" s="13"/>
      <c r="E112" s="13"/>
    </row>
    <row r="113">
      <c r="B113" s="13"/>
      <c r="C113" s="13"/>
      <c r="D113" s="13"/>
      <c r="E113" s="13"/>
    </row>
    <row r="114">
      <c r="B114" s="13"/>
      <c r="C114" s="13"/>
      <c r="D114" s="13"/>
      <c r="E114" s="13"/>
    </row>
    <row r="115">
      <c r="B115" s="13"/>
      <c r="C115" s="13"/>
      <c r="D115" s="13"/>
      <c r="E115" s="13"/>
    </row>
    <row r="116">
      <c r="B116" s="13"/>
      <c r="C116" s="13"/>
      <c r="D116" s="13"/>
      <c r="E116" s="13"/>
    </row>
    <row r="117">
      <c r="B117" s="13"/>
      <c r="C117" s="13"/>
      <c r="D117" s="13"/>
      <c r="E117" s="13"/>
    </row>
    <row r="118">
      <c r="B118" s="13"/>
      <c r="C118" s="13"/>
      <c r="D118" s="13"/>
      <c r="E118" s="13"/>
    </row>
    <row r="119">
      <c r="B119" s="13"/>
      <c r="C119" s="13"/>
      <c r="D119" s="13"/>
      <c r="E119" s="13"/>
    </row>
    <row r="120">
      <c r="B120" s="13"/>
      <c r="C120" s="13"/>
      <c r="D120" s="13"/>
      <c r="E120" s="13"/>
    </row>
    <row r="121">
      <c r="B121" s="13"/>
      <c r="C121" s="13"/>
      <c r="D121" s="13"/>
      <c r="E121" s="13"/>
    </row>
    <row r="122">
      <c r="B122" s="13"/>
      <c r="C122" s="13"/>
      <c r="D122" s="13"/>
      <c r="E122" s="13"/>
    </row>
    <row r="123">
      <c r="B123" s="13"/>
      <c r="C123" s="13"/>
      <c r="D123" s="13"/>
      <c r="E123" s="13"/>
    </row>
    <row r="124">
      <c r="B124" s="13"/>
      <c r="C124" s="13"/>
      <c r="D124" s="13"/>
      <c r="E124" s="13"/>
    </row>
    <row r="125">
      <c r="B125" s="13"/>
      <c r="C125" s="13"/>
      <c r="D125" s="13"/>
      <c r="E125" s="13"/>
    </row>
    <row r="126">
      <c r="B126" s="13"/>
      <c r="C126" s="13"/>
      <c r="D126" s="13"/>
      <c r="E126" s="13"/>
    </row>
    <row r="127">
      <c r="B127" s="13"/>
      <c r="C127" s="13"/>
      <c r="D127" s="13"/>
      <c r="E127" s="13"/>
    </row>
    <row r="128">
      <c r="B128" s="13"/>
      <c r="C128" s="13"/>
      <c r="D128" s="13"/>
      <c r="E128" s="13"/>
    </row>
    <row r="129">
      <c r="B129" s="13"/>
      <c r="C129" s="13"/>
      <c r="D129" s="13"/>
      <c r="E129" s="13"/>
    </row>
    <row r="130">
      <c r="B130" s="13"/>
      <c r="C130" s="13"/>
      <c r="D130" s="13"/>
      <c r="E130" s="13"/>
    </row>
    <row r="131">
      <c r="B131" s="13"/>
      <c r="C131" s="13"/>
      <c r="D131" s="13"/>
      <c r="E131" s="13"/>
    </row>
    <row r="132">
      <c r="B132" s="13"/>
      <c r="C132" s="13"/>
      <c r="D132" s="13"/>
      <c r="E132" s="13"/>
    </row>
    <row r="133">
      <c r="B133" s="13"/>
      <c r="C133" s="13"/>
      <c r="D133" s="13"/>
      <c r="E133" s="13"/>
    </row>
    <row r="134">
      <c r="B134" s="13"/>
      <c r="C134" s="13"/>
      <c r="D134" s="13"/>
      <c r="E134" s="13"/>
    </row>
    <row r="135">
      <c r="B135" s="13"/>
      <c r="C135" s="13"/>
      <c r="D135" s="13"/>
      <c r="E135" s="13"/>
    </row>
    <row r="136">
      <c r="B136" s="13"/>
      <c r="C136" s="13"/>
      <c r="D136" s="13"/>
      <c r="E136" s="13"/>
    </row>
    <row r="137">
      <c r="B137" s="13"/>
      <c r="C137" s="13"/>
      <c r="D137" s="13"/>
      <c r="E137" s="13"/>
    </row>
    <row r="138">
      <c r="B138" s="13"/>
      <c r="C138" s="13"/>
      <c r="D138" s="13"/>
      <c r="E138" s="13"/>
    </row>
    <row r="139">
      <c r="B139" s="13"/>
      <c r="C139" s="13"/>
      <c r="D139" s="13"/>
      <c r="E139" s="13"/>
    </row>
    <row r="140">
      <c r="B140" s="13"/>
      <c r="C140" s="13"/>
      <c r="D140" s="13"/>
      <c r="E140" s="13"/>
    </row>
    <row r="141">
      <c r="B141" s="13"/>
      <c r="C141" s="13"/>
      <c r="D141" s="13"/>
      <c r="E141" s="13"/>
    </row>
    <row r="142">
      <c r="B142" s="13"/>
      <c r="C142" s="13"/>
      <c r="D142" s="13"/>
      <c r="E142" s="13"/>
    </row>
    <row r="143">
      <c r="B143" s="13"/>
      <c r="C143" s="13"/>
      <c r="D143" s="13"/>
      <c r="E143" s="13"/>
    </row>
    <row r="144">
      <c r="B144" s="13"/>
      <c r="C144" s="13"/>
      <c r="D144" s="13"/>
      <c r="E144" s="13"/>
    </row>
    <row r="145">
      <c r="B145" s="13"/>
      <c r="C145" s="13"/>
      <c r="D145" s="13"/>
      <c r="E145" s="13"/>
    </row>
    <row r="146">
      <c r="B146" s="13"/>
      <c r="C146" s="13"/>
      <c r="D146" s="13"/>
      <c r="E146" s="13"/>
    </row>
    <row r="147">
      <c r="B147" s="13"/>
      <c r="C147" s="13"/>
      <c r="D147" s="13"/>
      <c r="E147" s="13"/>
    </row>
    <row r="148">
      <c r="B148" s="13"/>
      <c r="C148" s="13"/>
      <c r="D148" s="13"/>
      <c r="E148" s="13"/>
    </row>
    <row r="149">
      <c r="B149" s="13"/>
      <c r="C149" s="13"/>
      <c r="D149" s="13"/>
      <c r="E149" s="13"/>
    </row>
    <row r="150">
      <c r="B150" s="13"/>
      <c r="C150" s="13"/>
      <c r="D150" s="13"/>
      <c r="E150" s="13"/>
    </row>
    <row r="151">
      <c r="B151" s="13"/>
      <c r="C151" s="13"/>
      <c r="D151" s="13"/>
      <c r="E151" s="13"/>
    </row>
    <row r="152">
      <c r="B152" s="13"/>
      <c r="C152" s="13"/>
      <c r="D152" s="13"/>
      <c r="E152" s="13"/>
    </row>
    <row r="153">
      <c r="B153" s="13"/>
      <c r="C153" s="13"/>
      <c r="D153" s="13"/>
      <c r="E153" s="13"/>
    </row>
    <row r="154">
      <c r="B154" s="13"/>
      <c r="C154" s="13"/>
      <c r="D154" s="13"/>
      <c r="E154" s="13"/>
    </row>
    <row r="155">
      <c r="B155" s="13"/>
      <c r="C155" s="13"/>
      <c r="D155" s="13"/>
      <c r="E155" s="13"/>
    </row>
    <row r="156">
      <c r="B156" s="13"/>
      <c r="C156" s="13"/>
      <c r="D156" s="13"/>
      <c r="E156" s="13"/>
    </row>
    <row r="157">
      <c r="B157" s="13"/>
      <c r="C157" s="13"/>
      <c r="D157" s="13"/>
      <c r="E157" s="13"/>
    </row>
    <row r="158">
      <c r="B158" s="13"/>
      <c r="C158" s="13"/>
      <c r="D158" s="13"/>
      <c r="E158" s="13"/>
    </row>
    <row r="159">
      <c r="B159" s="13"/>
      <c r="C159" s="13"/>
      <c r="D159" s="13"/>
      <c r="E159" s="13"/>
    </row>
    <row r="160">
      <c r="B160" s="13"/>
      <c r="C160" s="13"/>
      <c r="D160" s="13"/>
      <c r="E160" s="13"/>
    </row>
    <row r="161">
      <c r="B161" s="13"/>
      <c r="C161" s="13"/>
      <c r="D161" s="13"/>
      <c r="E161" s="13"/>
    </row>
    <row r="162">
      <c r="B162" s="13"/>
      <c r="C162" s="13"/>
      <c r="D162" s="13"/>
      <c r="E162" s="13"/>
    </row>
    <row r="163">
      <c r="B163" s="13"/>
      <c r="C163" s="13"/>
      <c r="D163" s="13"/>
      <c r="E163" s="13"/>
    </row>
    <row r="164">
      <c r="B164" s="13"/>
      <c r="C164" s="13"/>
      <c r="D164" s="13"/>
      <c r="E164" s="13"/>
    </row>
    <row r="165">
      <c r="B165" s="13"/>
      <c r="C165" s="13"/>
      <c r="D165" s="13"/>
      <c r="E165" s="13"/>
    </row>
    <row r="166">
      <c r="B166" s="13"/>
      <c r="C166" s="13"/>
      <c r="D166" s="13"/>
      <c r="E166" s="13"/>
    </row>
    <row r="167">
      <c r="B167" s="13"/>
      <c r="C167" s="13"/>
      <c r="D167" s="13"/>
      <c r="E167" s="13"/>
    </row>
    <row r="168">
      <c r="B168" s="13"/>
      <c r="C168" s="13"/>
      <c r="D168" s="13"/>
      <c r="E168" s="13"/>
    </row>
    <row r="169">
      <c r="B169" s="13"/>
      <c r="C169" s="13"/>
      <c r="D169" s="13"/>
      <c r="E169" s="13"/>
    </row>
    <row r="170">
      <c r="B170" s="13"/>
      <c r="C170" s="13"/>
      <c r="D170" s="13"/>
      <c r="E170" s="13"/>
    </row>
    <row r="171">
      <c r="B171" s="13"/>
      <c r="C171" s="13"/>
      <c r="D171" s="13"/>
      <c r="E171" s="13"/>
    </row>
    <row r="172">
      <c r="B172" s="13"/>
      <c r="C172" s="13"/>
      <c r="D172" s="13"/>
      <c r="E172" s="13"/>
    </row>
    <row r="173">
      <c r="B173" s="13"/>
      <c r="C173" s="13"/>
      <c r="D173" s="13"/>
      <c r="E173" s="13"/>
    </row>
    <row r="174">
      <c r="B174" s="13"/>
      <c r="C174" s="13"/>
      <c r="D174" s="13"/>
      <c r="E174" s="13"/>
    </row>
    <row r="175">
      <c r="B175" s="13"/>
      <c r="C175" s="13"/>
      <c r="D175" s="13"/>
      <c r="E175" s="13"/>
    </row>
    <row r="176">
      <c r="B176" s="13"/>
      <c r="C176" s="13"/>
      <c r="D176" s="13"/>
      <c r="E176" s="13"/>
    </row>
    <row r="177">
      <c r="B177" s="13"/>
      <c r="C177" s="13"/>
      <c r="D177" s="13"/>
      <c r="E177" s="13"/>
    </row>
    <row r="178">
      <c r="B178" s="13"/>
      <c r="C178" s="13"/>
      <c r="D178" s="13"/>
      <c r="E178" s="13"/>
    </row>
    <row r="179">
      <c r="B179" s="13"/>
      <c r="C179" s="13"/>
      <c r="D179" s="13"/>
      <c r="E179" s="13"/>
    </row>
    <row r="180">
      <c r="B180" s="13"/>
      <c r="C180" s="13"/>
      <c r="D180" s="13"/>
      <c r="E180" s="13"/>
    </row>
    <row r="181">
      <c r="B181" s="13"/>
      <c r="C181" s="13"/>
      <c r="D181" s="13"/>
      <c r="E181" s="13"/>
    </row>
    <row r="182">
      <c r="B182" s="13"/>
      <c r="C182" s="13"/>
      <c r="D182" s="13"/>
      <c r="E182" s="13"/>
    </row>
    <row r="183">
      <c r="B183" s="13"/>
      <c r="C183" s="13"/>
      <c r="D183" s="13"/>
      <c r="E183" s="13"/>
    </row>
    <row r="184">
      <c r="B184" s="13"/>
      <c r="C184" s="13"/>
      <c r="D184" s="13"/>
      <c r="E184" s="13"/>
    </row>
    <row r="185">
      <c r="B185" s="13"/>
      <c r="C185" s="13"/>
      <c r="D185" s="13"/>
      <c r="E185" s="13"/>
    </row>
    <row r="186">
      <c r="B186" s="13"/>
      <c r="C186" s="13"/>
      <c r="D186" s="13"/>
      <c r="E186" s="13"/>
    </row>
    <row r="187">
      <c r="B187" s="13"/>
      <c r="C187" s="13"/>
      <c r="D187" s="13"/>
      <c r="E187" s="13"/>
    </row>
    <row r="188">
      <c r="B188" s="13"/>
      <c r="C188" s="13"/>
      <c r="D188" s="13"/>
      <c r="E188" s="13"/>
    </row>
    <row r="189">
      <c r="B189" s="13"/>
      <c r="C189" s="13"/>
      <c r="D189" s="13"/>
      <c r="E189" s="13"/>
    </row>
    <row r="190">
      <c r="B190" s="13"/>
      <c r="C190" s="13"/>
      <c r="D190" s="13"/>
      <c r="E190" s="13"/>
    </row>
    <row r="191">
      <c r="B191" s="13"/>
      <c r="C191" s="13"/>
      <c r="D191" s="13"/>
      <c r="E191" s="13"/>
    </row>
    <row r="192">
      <c r="B192" s="13"/>
      <c r="C192" s="13"/>
      <c r="D192" s="13"/>
      <c r="E192" s="13"/>
    </row>
    <row r="193">
      <c r="B193" s="13"/>
      <c r="C193" s="13"/>
      <c r="D193" s="13"/>
      <c r="E193" s="13"/>
    </row>
    <row r="194">
      <c r="B194" s="13"/>
      <c r="C194" s="13"/>
      <c r="D194" s="13"/>
      <c r="E194" s="13"/>
    </row>
    <row r="195">
      <c r="B195" s="13"/>
      <c r="C195" s="13"/>
      <c r="D195" s="13"/>
      <c r="E195" s="13"/>
    </row>
    <row r="196">
      <c r="B196" s="13"/>
      <c r="C196" s="13"/>
      <c r="D196" s="13"/>
      <c r="E196" s="13"/>
    </row>
    <row r="197">
      <c r="B197" s="13"/>
      <c r="C197" s="13"/>
      <c r="D197" s="13"/>
      <c r="E197" s="13"/>
    </row>
    <row r="198">
      <c r="B198" s="13"/>
      <c r="C198" s="13"/>
      <c r="D198" s="13"/>
      <c r="E198" s="13"/>
    </row>
    <row r="199">
      <c r="B199" s="13"/>
      <c r="C199" s="13"/>
      <c r="D199" s="13"/>
      <c r="E199" s="13"/>
    </row>
    <row r="200">
      <c r="B200" s="13"/>
      <c r="C200" s="13"/>
      <c r="D200" s="13"/>
      <c r="E200" s="13"/>
    </row>
    <row r="201">
      <c r="B201" s="13"/>
      <c r="C201" s="13"/>
      <c r="D201" s="13"/>
      <c r="E201" s="13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44"/>
    <col collapsed="false" customWidth="true" hidden="false" max="3" min="3" style="0" width="44"/>
  </cols>
  <sheetData>
    <row r="1">
      <c r="A1" s="18" t="str">
        <v>酒席桌数安排：23+2</v>
      </c>
      <c r="B1" s="18"/>
      <c r="C1" s="18"/>
    </row>
    <row r="2">
      <c r="A2" s="19" t="str">
        <v>女方</v>
      </c>
      <c r="B2" s="7"/>
      <c r="C2" s="19" t="str">
        <v>男方</v>
      </c>
    </row>
    <row r="3">
      <c r="A3" s="10" t="str">
        <v>爸：
1.大伯 9人
2.二伯 3人
3.三伯 6人
4.小叔 3人
5.大姥 2人
6.小姥 3人
7.小姑奶奶 4人
8.同学14人（可能1桌） 朋友4人
小计：48人
妈：
1.亚军哥 4人
2.胡娟姐 3人
3.二舅 3人
4.小舅 7人（带外婆）
5.大姨娘 5人
6.二姨娘 5人
7.三姨娘 7人
小计：34人
爸妈坐主桌，弟弟1人</v>
      </c>
      <c r="B3" s="7" t="str">
        <v>15 我朋友 洪扬 x2 潘超 超哥  老豪  梦兰朋友 x 3
16 梦兰朋友  x10  小周 宇航员 何x2 陆x2  kbk 菊花 张瑶</v>
      </c>
      <c r="C3" s="7" t="str">
        <v>1 桌  大姑家: 大姑 大姑爷 哥哥 x4，姐姐 x4
2 桌 小伯 5 二伯 4
3 桌 姑奶奶 2 4 个表姑 +?
13 桌  大爷爷一家 x6 
4 桌  二姑x4 合肥二姑x3
5 桌 洋洋家x2 4 家算一桌
6 桌 王下份爷爷家 x4 
7 桌 大新庄 x6
8 桌 舅舅 x4，外公外婆
9 桌 老圩 表叔 x5 
 10 桌 老爸同事 x6
11 桌 舅爷爷，舅奶奶 x6
12 桌  大队书记 x6
14 主桌 爷爷奶奶 老爸老妈 梦兰老爸老妈
17 木匠外婆家 
</v>
      </c>
      <c r="E3" s="3" t="str">
        <v>自己出场
无征婚人
敬茶在龙川
父母只饮酒</v>
      </c>
    </row>
    <row r="4">
      <c r="A4" s="20" t="str">
        <v>礼品数量</v>
      </c>
      <c r="B4" s="20"/>
      <c r="C4" s="20"/>
    </row>
    <row r="5">
      <c r="A5" s="3" t="str">
        <v>女方</v>
      </c>
      <c r="C5" s="3" t="str">
        <v>男方</v>
      </c>
      <c r="E5" s="3" t="str">
        <v>150*17=2550</v>
      </c>
    </row>
    <row r="6">
      <c r="A6" s="3" t="str">
        <v>60份</v>
      </c>
      <c r="C6" s="3" t="str">
        <v>60份</v>
      </c>
      <c r="D6" s="3" t="str">
        <v>准备 150份</v>
      </c>
      <c r="E6" s="3" t="str">
        <v>已付定金200</v>
      </c>
    </row>
  </sheetData>
  <mergeCells>
    <mergeCell ref="A1:C1"/>
    <mergeCell ref="A4:C4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7"/>
  </cols>
  <sheetData>
    <row r="1">
      <c r="A1" s="21" t="str">
        <v>半日集摄影工作室</v>
      </c>
      <c r="B1" s="21"/>
      <c r="C1" s="21"/>
      <c r="D1" s="21"/>
      <c r="E1" s="21"/>
    </row>
    <row r="2">
      <c r="A2" s="22" t="str">
        <v>项目名称</v>
      </c>
      <c r="B2" s="22" t="str">
        <v>型号</v>
      </c>
      <c r="C2" s="22" t="str">
        <v>单价</v>
      </c>
      <c r="D2" s="22" t="str">
        <v>备注</v>
      </c>
      <c r="E2" s="22" t="str">
        <v>实际花费</v>
      </c>
    </row>
    <row r="3">
      <c r="A3" s="23" t="str">
        <v>半日集</v>
      </c>
      <c r="B3" s="24" t="str">
        <v>6999减520总价是6479，套餐内精修35张+老客推荐赠送5张
总精修是40张。有一本16寸相册和两个10寸摆台</v>
      </c>
      <c r="C3" s="25">
        <v>6999</v>
      </c>
      <c r="D3" s="23" t="str">
        <v>暂定4月9号进行拍摄
已付定金2000</v>
      </c>
      <c r="E3" s="23">
        <v>6479</v>
      </c>
    </row>
    <row r="4">
      <c r="A4" s="23" t="str">
        <v>半日集</v>
      </c>
      <c r="B4" s="24" t="str">
        <v>增加选照片</v>
      </c>
      <c r="C4" s="25">
        <v>3000</v>
      </c>
      <c r="D4" s="23" t="str">
        <v>增加照片</v>
      </c>
      <c r="E4" s="26">
        <v>3000</v>
      </c>
    </row>
    <row r="5">
      <c r="A5" s="23" t="str">
        <v>半日集</v>
      </c>
      <c r="B5" s="24" t="str">
        <v>所有门票</v>
      </c>
      <c r="C5" s="27"/>
      <c r="D5" s="23"/>
      <c r="E5" s="28">
        <v>500</v>
      </c>
    </row>
    <row r="6">
      <c r="A6" s="23"/>
      <c r="B6" s="27"/>
      <c r="C6" s="27">
        <f>SUM(C3:C5)</f>
      </c>
      <c r="D6" s="23"/>
      <c r="E6" s="28">
        <f>SUM(E3:E5)</f>
      </c>
    </row>
  </sheetData>
  <mergeCells>
    <mergeCell ref="A1:E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9" min="9" style="0" width="14"/>
  </cols>
  <sheetData>
    <row r="1">
      <c r="A1" s="19" t="str">
        <v>地址</v>
      </c>
      <c r="B1" s="19" t="str">
        <v>日期</v>
      </c>
      <c r="C1" s="19" t="str">
        <v>每桌花费</v>
      </c>
      <c r="D1" s="4" t="str">
        <v>其他费用</v>
      </c>
      <c r="E1" s="4" t="str">
        <v>备注</v>
      </c>
      <c r="F1" s="29" t="str">
        <v>时间</v>
      </c>
      <c r="G1" s="29" t="str">
        <v>备注</v>
      </c>
      <c r="H1" s="29" t="str">
        <v>酒店总计</v>
      </c>
      <c r="I1" s="29" t="str">
        <v>已付</v>
      </c>
    </row>
    <row customHeight="true" ht="148" r="2">
      <c r="A2" s="30" t="str">
        <v>会宾楼（望湖城店）
3楼星光厅</v>
      </c>
      <c r="B2" s="30" t="str">
        <v>2024年11月2日（农历十月初二）</v>
      </c>
      <c r="C2" s="30" t="str">
        <v>23桌起订，23桌备2桌
餐标3099/桌</v>
      </c>
      <c r="D2" s="30" t="str">
        <v>婚庆套餐10000元（赠送液氮效果一份）</v>
      </c>
      <c r="E2" s="30" t="str">
        <v>1.酒水多了不能退，打包带回家
2.古井8年2瓶、红酒1瓶、饮料2瓶</v>
      </c>
      <c r="F2" s="6">
        <v>11.2</v>
      </c>
      <c r="G2" s="10" t="str">
        <v>（1）11.2 婚庆套餐优惠 6 千
（2）餐标 11.2-3099
婚庆总金额：10000 
酒席：71277</v>
      </c>
      <c r="H2" s="6">
        <v>81277</v>
      </c>
      <c r="I2" s="3">
        <f>20000+60000+9337+3944</f>
      </c>
    </row>
  </sheetData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4"/>
  </cols>
  <sheetData>
    <row customHeight="true" ht="19" r="1">
      <c r="A1" s="11" t="str">
        <v>类别</v>
      </c>
      <c r="B1" s="11" t="str">
        <v>来源</v>
      </c>
      <c r="C1" s="11" t="str">
        <v>金额</v>
      </c>
      <c r="D1" s="31" t="str">
        <v>已付</v>
      </c>
      <c r="E1" s="31" t="str">
        <v>备注</v>
      </c>
    </row>
    <row r="2">
      <c r="A2" s="6" t="str">
        <v>主持</v>
      </c>
      <c r="B2" s="6" t="str">
        <v>同庆楼主持</v>
      </c>
      <c r="C2" s="6">
        <v>1590</v>
      </c>
      <c r="D2" s="5">
        <v>0</v>
      </c>
      <c r="E2" s="3">
        <f>C2-D2</f>
      </c>
    </row>
    <row r="3">
      <c r="A3" s="6" t="str">
        <v>婚纱</v>
      </c>
      <c r="B3" s="6" t="str">
        <v>大小姐婚纱馆</v>
      </c>
      <c r="C3" s="6">
        <v>4378</v>
      </c>
      <c r="D3" s="5">
        <v>2000</v>
      </c>
      <c r="E3" s="3">
        <v>4378</v>
      </c>
    </row>
    <row r="4">
      <c r="A4" s="6" t="str">
        <v>化妆</v>
      </c>
      <c r="B4" s="6" t="str">
        <v>大小姐婚纱馆</v>
      </c>
      <c r="C4" s="6">
        <v>800</v>
      </c>
      <c r="D4" s="6">
        <v>800</v>
      </c>
      <c r="E4" s="3">
        <f>800+66</f>
      </c>
    </row>
    <row r="5">
      <c r="A5" s="6" t="str">
        <v>摄像</v>
      </c>
      <c r="B5" s="6" t="str">
        <v>大小姐婚纱馆</v>
      </c>
      <c r="C5" s="6">
        <v>1000</v>
      </c>
      <c r="D5" s="5">
        <v>1000</v>
      </c>
      <c r="E5" s="3">
        <v>1030</v>
      </c>
    </row>
    <row r="6">
      <c r="A6" s="6"/>
      <c r="B6" s="6"/>
      <c r="C6" s="6">
        <f>SUM(C2:C5)</f>
      </c>
      <c r="D6" s="5">
        <f>SUM(D3:D5)</f>
      </c>
      <c r="E6" s="3">
        <f>SUM(E2:E5)</f>
      </c>
    </row>
    <row r="7">
      <c r="A7" s="6"/>
      <c r="B7" s="6"/>
      <c r="C7" s="6"/>
      <c r="D7" s="5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3" min="3" style="0" width="14"/>
    <col collapsed="false" customWidth="true" hidden="false" max="5" min="5" style="0" width="14"/>
    <col collapsed="false" customWidth="true" hidden="false" max="6" min="6" style="0" width="46"/>
  </cols>
  <sheetData>
    <row customHeight="true" ht="19" r="1">
      <c r="A1" s="19" t="str">
        <v>结婚+过礼</v>
      </c>
      <c r="B1" s="19"/>
      <c r="C1" s="19"/>
      <c r="D1" s="19"/>
      <c r="E1" s="19"/>
      <c r="F1" s="19"/>
      <c r="I1" s="3"/>
    </row>
    <row r="2">
      <c r="A2" s="19" t="str">
        <v>类型</v>
      </c>
      <c r="B2" s="19" t="str">
        <v>份数</v>
      </c>
      <c r="C2" s="19" t="str">
        <v>单价</v>
      </c>
      <c r="D2" s="19" t="str">
        <v>金额</v>
      </c>
      <c r="E2" s="31" t="str">
        <v>已付</v>
      </c>
      <c r="F2" s="31" t="str">
        <v>备注</v>
      </c>
    </row>
    <row r="3">
      <c r="A3" s="3" t="str">
        <v>酒：古8</v>
      </c>
      <c r="B3" s="3">
        <v>10</v>
      </c>
      <c r="C3" s="3">
        <v>800</v>
      </c>
      <c r="D3" s="3">
        <v>8000</v>
      </c>
      <c r="E3" s="3">
        <v>8000</v>
      </c>
      <c r="F3" s="3" t="str">
        <v>1.过礼6：酒 （古8），酒席备4箱 = 10箱</v>
      </c>
      <c r="I3" s="3"/>
    </row>
    <row r="4">
      <c r="A4" s="3" t="str">
        <v>烟：软中华</v>
      </c>
      <c r="B4" s="3">
        <v>28</v>
      </c>
      <c r="C4" s="3">
        <v>600</v>
      </c>
      <c r="D4" s="3">
        <v>16800</v>
      </c>
      <c r="E4" s="3">
        <f>16800+3000</f>
      </c>
      <c r="F4" s="3" t="str">
        <v>1.每桌 2 个共6 条，过礼 6 条，喜糖男方 8 条，女方8 条，
总共2*6+2*8=28条软中，28×600=16800
20240718 已备15，15*600=9000</v>
      </c>
      <c r="I4" s="3"/>
    </row>
    <row r="5">
      <c r="A5" s="3" t="str">
        <v>喜糖：</v>
      </c>
      <c r="B5" s="3">
        <v>150</v>
      </c>
      <c r="C5" s="3">
        <v>17</v>
      </c>
      <c r="D5" s="3">
        <v>2500</v>
      </c>
      <c r="E5" s="3">
        <f>2720+680</f>
      </c>
      <c r="F5" s="3" t="str">
        <v>150×17=2550
收定金200元</v>
      </c>
      <c r="I5" s="3"/>
    </row>
    <row r="6">
      <c r="A6" s="3" t="str">
        <v>彩礼：</v>
      </c>
      <c r="B6" s="3">
        <v>1</v>
      </c>
      <c r="C6" s="3">
        <v>88000</v>
      </c>
      <c r="D6" s="3">
        <v>88000</v>
      </c>
      <c r="E6" s="3">
        <f>88000+2800+280</f>
      </c>
      <c r="F6" s="3" t="str">
        <v>烟（软中）  酒 （古8）
糖 6 斤 米团  步步糕6条 果子袋装 6 斤
彩礼</v>
      </c>
      <c r="G6" s="3"/>
      <c r="I6" s="3"/>
    </row>
    <row r="7">
      <c r="A7" s="3" t="str">
        <v>总计</v>
      </c>
      <c r="D7">
        <f>SUM(D3:D6)</f>
      </c>
      <c r="E7">
        <f>SUM(E3:E6)</f>
      </c>
    </row>
  </sheetData>
  <mergeCells>
    <mergeCell ref="A1:F1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5" min="5" style="0" width="14"/>
    <col collapsed="false" customWidth="true" hidden="false" max="6" min="6" style="0" width="46"/>
    <col collapsed="false" customWidth="true" hidden="false" max="21" min="21" style="0" width="14"/>
    <col collapsed="false" customWidth="true" hidden="false" max="22" min="22" style="0" width="14"/>
  </cols>
  <sheetData>
    <row r="1">
      <c r="A1" s="19" t="str">
        <v>过礼准备</v>
      </c>
      <c r="B1" s="19"/>
      <c r="C1" s="19"/>
      <c r="D1" s="19"/>
      <c r="E1" s="19"/>
      <c r="F1" s="19"/>
    </row>
    <row r="2">
      <c r="A2" s="19" t="str">
        <v>类型</v>
      </c>
      <c r="B2" s="19" t="str">
        <v>份数</v>
      </c>
      <c r="C2" s="19" t="str">
        <v>单价</v>
      </c>
      <c r="D2" s="19" t="str">
        <v>金额</v>
      </c>
      <c r="E2" s="31" t="str">
        <v>已准备</v>
      </c>
      <c r="F2" s="31" t="str">
        <v>备注</v>
      </c>
    </row>
    <row r="3">
      <c r="A3" s="3" t="str">
        <v>酒：古8</v>
      </c>
      <c r="B3" s="3">
        <v>6</v>
      </c>
      <c r="E3" s="3" t="str">
        <v>ok</v>
      </c>
      <c r="F3" s="3" t="str">
        <v>1.过礼6：酒 （古8）</v>
      </c>
    </row>
    <row r="4">
      <c r="A4" s="3" t="str">
        <v>烟：软中华</v>
      </c>
      <c r="B4" s="3">
        <v>6</v>
      </c>
      <c r="D4" s="3"/>
      <c r="E4" s="3" t="str">
        <v>ok</v>
      </c>
      <c r="F4" s="3" t="str">
        <v>1.过礼 6 条</v>
      </c>
    </row>
    <row r="5">
      <c r="A5" s="3" t="str">
        <v>彩礼</v>
      </c>
      <c r="B5" s="3">
        <v>1</v>
      </c>
      <c r="C5" s="3">
        <v>88000</v>
      </c>
      <c r="D5" s="3"/>
      <c r="E5" s="3"/>
      <c r="F5" s="3" t="str">
        <v>现金</v>
      </c>
      <c r="G5" s="3"/>
    </row>
    <row r="6">
      <c r="A6" s="3" t="str">
        <v>糕点</v>
      </c>
      <c r="B6" s="3">
        <v>2</v>
      </c>
      <c r="E6" s="3" t="str">
        <v>ok</v>
      </c>
    </row>
    <row r="7">
      <c r="A7" s="3" t="str">
        <v>挂面</v>
      </c>
      <c r="B7" s="3">
        <v>2</v>
      </c>
    </row>
    <row r="8">
      <c r="A8" s="3" t="str">
        <v>猪肉</v>
      </c>
      <c r="B8" s="3">
        <v>2</v>
      </c>
    </row>
    <row r="9">
      <c r="A9" s="3" t="str">
        <v>吴龙杰2个红包</v>
      </c>
      <c r="B9" s="3">
        <v>2</v>
      </c>
      <c r="D9" s="3" t="str">
        <v>2800+280</v>
      </c>
      <c r="F9" s="3" t="str">
        <v>1.2800是给吴龙杰的
2.280是子孙童的</v>
      </c>
    </row>
    <row r="10"/>
    <row r="11">
      <c r="A11" s="19" t="str">
        <v>注意事项</v>
      </c>
      <c r="B11" s="19"/>
      <c r="C11" s="19"/>
      <c r="D11" s="19"/>
      <c r="E11" s="19"/>
      <c r="F11" s="19"/>
    </row>
    <row r="12">
      <c r="A12" s="3" t="str">
        <v>10月1号带3条烟回家</v>
      </c>
    </row>
    <row customHeight="true" ht="19" r="13">
      <c r="A13" s="3" t="str">
        <v>10月1号带红包回家</v>
      </c>
    </row>
    <row r="14">
      <c r="A14" s="3" t="str">
        <v>10月1号沟通过礼流程
提前给大姑爷打电话</v>
      </c>
    </row>
    <row r="15">
      <c r="A15" s="3" t="str">
        <v>过礼当天敬酒要敬2次</v>
      </c>
    </row>
    <row r="16">
      <c r="A16" s="3" t="str">
        <v>过礼当天注意多散烟</v>
      </c>
    </row>
    <row r="17">
      <c r="A17" s="3" t="str">
        <v>过礼当天到卫岗10点左右，9点到南湖春城集合</v>
      </c>
      <c r="F17" s="3" t="str">
        <v>爸妈10:30之后回老家</v>
      </c>
    </row>
    <row r="18">
      <c r="A18" t="str">
        <v>
</v>
      </c>
    </row>
  </sheetData>
  <mergeCells>
    <mergeCell ref="A11:F11"/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